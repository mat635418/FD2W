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odyearcorp-my.sharepoint.com/personal/andrea_barbieri_goodyear_com/Documents/Desktop/"/>
    </mc:Choice>
  </mc:AlternateContent>
  <xr:revisionPtr revIDLastSave="89" documentId="8_{D681DBDF-1CFE-4E88-B47B-EC06BE9DA24C}" xr6:coauthVersionLast="47" xr6:coauthVersionMax="47" xr10:uidLastSave="{8AF7EB36-50F0-45ED-9B81-78E831E0C1C4}"/>
  <bookViews>
    <workbookView xWindow="-108" yWindow="-108" windowWidth="23256" windowHeight="12456" activeTab="2" xr2:uid="{287A4C4F-D914-4D57-A0EE-DF1421D56C07}"/>
  </bookViews>
  <sheets>
    <sheet name="full" sheetId="1" r:id="rId1"/>
    <sheet name="by Wh.Role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L3" i="3"/>
  <c r="K4" i="3"/>
  <c r="L4" i="3"/>
  <c r="K5" i="3"/>
  <c r="L5" i="3"/>
  <c r="K6" i="3"/>
  <c r="L6" i="3"/>
  <c r="K7" i="3"/>
  <c r="L7" i="3"/>
  <c r="K8" i="3"/>
  <c r="L8" i="3"/>
  <c r="K9" i="3"/>
  <c r="L9" i="3"/>
  <c r="K10" i="3"/>
  <c r="L10" i="3"/>
  <c r="K11" i="3"/>
  <c r="L11" i="3"/>
  <c r="K12" i="3"/>
  <c r="L12" i="3"/>
  <c r="K13" i="3"/>
  <c r="L13" i="3"/>
  <c r="K14" i="3"/>
  <c r="L14" i="3"/>
  <c r="K15" i="3"/>
  <c r="L15" i="3"/>
  <c r="K16" i="3"/>
  <c r="L16" i="3"/>
  <c r="K17" i="3"/>
  <c r="L17" i="3"/>
  <c r="K18" i="3"/>
  <c r="L18" i="3"/>
  <c r="L2" i="3"/>
  <c r="K2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</calcChain>
</file>

<file path=xl/sharedStrings.xml><?xml version="1.0" encoding="utf-8"?>
<sst xmlns="http://schemas.openxmlformats.org/spreadsheetml/2006/main" count="474" uniqueCount="298">
  <si>
    <t>Forecast at LDC</t>
  </si>
  <si>
    <t>Forecast at LDC (area split)</t>
  </si>
  <si>
    <t>Forecast at RDC</t>
  </si>
  <si>
    <t>Forecast at Factory Warehouse</t>
  </si>
  <si>
    <t>AE01 - Goodyear Dubai</t>
  </si>
  <si>
    <t>CH01 - CPIC - Bülach</t>
  </si>
  <si>
    <t>CZ02 - CPIC - Cheb</t>
  </si>
  <si>
    <t>CZ70 - Tysys Wholesale</t>
  </si>
  <si>
    <t>DE01 - CPIC - Philippsburg</t>
  </si>
  <si>
    <t>DE30 - CPIC - Fulda</t>
  </si>
  <si>
    <t>DE31 - CPIC - Dorfborn</t>
  </si>
  <si>
    <t>DE51 - CPIC - Hanau</t>
  </si>
  <si>
    <t>DE52 - CPIC - Rodenbach</t>
  </si>
  <si>
    <t>DE55 - CPIC - Fürstenwalde</t>
  </si>
  <si>
    <t>DE56 - CPIC - Riesa</t>
  </si>
  <si>
    <t>DEV4 - VMI - Delticom - Lager 53</t>
  </si>
  <si>
    <t>ES01 - CPIC - ES Madrid Alcalá</t>
  </si>
  <si>
    <t>FI01 - CPIC - Kouvola</t>
  </si>
  <si>
    <t>FR03 - BTL Logistique</t>
  </si>
  <si>
    <t>FR13 - CPIC - MARSEILLE</t>
  </si>
  <si>
    <t>FR79 - CPIC - Amiens</t>
  </si>
  <si>
    <t>FRV1 - VMI - Magasin-Beaune</t>
  </si>
  <si>
    <t>FRV4 - VMI - Allopneu-Valence</t>
  </si>
  <si>
    <t>FRV5 - VMI - Delticom-Ensisheim</t>
  </si>
  <si>
    <t>GB01 - CPIC - DHL ISC</t>
  </si>
  <si>
    <t>GR01 - CPIC - Athens</t>
  </si>
  <si>
    <t>IT01 - CPIC - Novara S.Pietro</t>
  </si>
  <si>
    <t>IT03 - CPIC - Aprilia</t>
  </si>
  <si>
    <t>ITV1 - VMI - Fintyre-Seriate</t>
  </si>
  <si>
    <t>NO02 - CPIC - Moss</t>
  </si>
  <si>
    <t>PL01 - CPIC - Tarnow</t>
  </si>
  <si>
    <t>PLV1 - ENIS Kraków</t>
  </si>
  <si>
    <t>RO01 - CPIC - Bucharest</t>
  </si>
  <si>
    <t>RS01 - GY Kruševac</t>
  </si>
  <si>
    <t>RS02 - GY Belgrade</t>
  </si>
  <si>
    <t>SE01 - CPIC - Jönköping</t>
  </si>
  <si>
    <t>SI01 - CPIC - Kranj</t>
  </si>
  <si>
    <t>TR01 - Goodyear Adapazari</t>
  </si>
  <si>
    <t>TR03 - Goodyear Gebze Depo</t>
  </si>
  <si>
    <t>UA03 - UA03 - Shipments</t>
  </si>
  <si>
    <t>UAV1 - VMI - Infoshina</t>
  </si>
  <si>
    <t>ZA01 - SA Uitenhage</t>
  </si>
  <si>
    <t>ZA03 - SA Germiston</t>
  </si>
  <si>
    <t>ZA09 - SA Coega</t>
  </si>
  <si>
    <t>Adria</t>
  </si>
  <si>
    <t>Austria</t>
  </si>
  <si>
    <t>Baltics</t>
  </si>
  <si>
    <t>Benelux</t>
  </si>
  <si>
    <t>Bulgaria</t>
  </si>
  <si>
    <t>Czech Republic</t>
  </si>
  <si>
    <t>France Group</t>
  </si>
  <si>
    <t>GCC Group</t>
  </si>
  <si>
    <t>Germany</t>
  </si>
  <si>
    <t>Greece Group</t>
  </si>
  <si>
    <t>Hungary</t>
  </si>
  <si>
    <t>Iberia</t>
  </si>
  <si>
    <t>Italy Group</t>
  </si>
  <si>
    <t>Nordics</t>
  </si>
  <si>
    <t>Poland</t>
  </si>
  <si>
    <t>Romania</t>
  </si>
  <si>
    <t>Slovakia</t>
  </si>
  <si>
    <t>South Africa Group</t>
  </si>
  <si>
    <t>Switzerland</t>
  </si>
  <si>
    <t>Turkey Group</t>
  </si>
  <si>
    <t>UK / Ireland</t>
  </si>
  <si>
    <t>Ukraine</t>
  </si>
  <si>
    <t>Grand Total</t>
  </si>
  <si>
    <t>ZA</t>
  </si>
  <si>
    <t>PORT ELIZABETH</t>
  </si>
  <si>
    <t>62 Umlambo Street</t>
  </si>
  <si>
    <t>Germiston</t>
  </si>
  <si>
    <t>A.G. de Witt Drive</t>
  </si>
  <si>
    <t>Uitenhage</t>
  </si>
  <si>
    <t>Algoa Road</t>
  </si>
  <si>
    <t>UA</t>
  </si>
  <si>
    <t>Kyiv</t>
  </si>
  <si>
    <t>1a Pukhivska Str.</t>
  </si>
  <si>
    <t>Kiev</t>
  </si>
  <si>
    <t>Illinska, 8, block 8</t>
  </si>
  <si>
    <t>TR</t>
  </si>
  <si>
    <t>Gebze / Kocaeli</t>
  </si>
  <si>
    <t>cad. No:15</t>
  </si>
  <si>
    <t>Arifiye</t>
  </si>
  <si>
    <t>Good Year, Arifbey</t>
  </si>
  <si>
    <t>SI</t>
  </si>
  <si>
    <t>Kranj</t>
  </si>
  <si>
    <t>Skofjeloska cesta 6</t>
  </si>
  <si>
    <t>SE</t>
  </si>
  <si>
    <t>Jönköping</t>
  </si>
  <si>
    <t>556 52</t>
  </si>
  <si>
    <t>Möbelvägen 39</t>
  </si>
  <si>
    <t>RS</t>
  </si>
  <si>
    <t>Šimanovci</t>
  </si>
  <si>
    <t>Dositejeva 55</t>
  </si>
  <si>
    <t>Kruševac</t>
  </si>
  <si>
    <t>Savska 33</t>
  </si>
  <si>
    <t>RO</t>
  </si>
  <si>
    <t>Dragomiresti Vale, Ilfov</t>
  </si>
  <si>
    <t>Bucharest West Park, Strada D</t>
  </si>
  <si>
    <t>PL</t>
  </si>
  <si>
    <t>Kraków</t>
  </si>
  <si>
    <t>30-740</t>
  </si>
  <si>
    <t>Cementowa 10</t>
  </si>
  <si>
    <t>Tarnow</t>
  </si>
  <si>
    <t>33-100</t>
  </si>
  <si>
    <t>Ul. Szklana 31</t>
  </si>
  <si>
    <t>NO</t>
  </si>
  <si>
    <t>Vestby</t>
  </si>
  <si>
    <t>Treveien 9</t>
  </si>
  <si>
    <t>IT</t>
  </si>
  <si>
    <t>SERIATE</t>
  </si>
  <si>
    <t>Cascina Bruciata 7</t>
  </si>
  <si>
    <t>APRILIA</t>
  </si>
  <si>
    <t>S.S. 148 (Pontina) km. 44,400</t>
  </si>
  <si>
    <t>S.PIETRO MOSEZZO</t>
  </si>
  <si>
    <t>VIA DELL'INDUSTRIA  N.2</t>
  </si>
  <si>
    <t>GR</t>
  </si>
  <si>
    <t>ELEFSINA – ATTICA</t>
  </si>
  <si>
    <t>192 00</t>
  </si>
  <si>
    <t>LEKKA ELEFSINA</t>
  </si>
  <si>
    <t>GB</t>
  </si>
  <si>
    <t>Lutterworth</t>
  </si>
  <si>
    <t>LE17 4XN</t>
  </si>
  <si>
    <t>3310 Hunter Boulevard</t>
  </si>
  <si>
    <t>FR</t>
  </si>
  <si>
    <t>ENSISHEIM</t>
  </si>
  <si>
    <t>1 RUE DU SCHORFELD</t>
  </si>
  <si>
    <t>Valence</t>
  </si>
  <si>
    <t>rue de la condamine</t>
  </si>
  <si>
    <t>BEAUNE</t>
  </si>
  <si>
    <t>RUE ANDRE GAGEY BAT A</t>
  </si>
  <si>
    <t>Amiens</t>
  </si>
  <si>
    <t>80 avenue Roger Dumoulin</t>
  </si>
  <si>
    <t>Miramas</t>
  </si>
  <si>
    <t>4 Avenue Ferdinand Magellan</t>
  </si>
  <si>
    <t>Villers-Bretonneux</t>
  </si>
  <si>
    <t>17 Rue de Demuin</t>
  </si>
  <si>
    <t>FI</t>
  </si>
  <si>
    <t>Kouvola</t>
  </si>
  <si>
    <t>Tehontie 10 C</t>
  </si>
  <si>
    <t>ES</t>
  </si>
  <si>
    <t>Alcalá de Henares (Madrid</t>
  </si>
  <si>
    <t>Calle Francisco Rabal número 3</t>
  </si>
  <si>
    <t>DE</t>
  </si>
  <si>
    <t>Gremersdorf</t>
  </si>
  <si>
    <t>Hansebeltstraße 1</t>
  </si>
  <si>
    <t>Riesa</t>
  </si>
  <si>
    <t>Paul-Greifzu-Str. 18</t>
  </si>
  <si>
    <t>Fürstenwalde</t>
  </si>
  <si>
    <t>Tränkeweg 15a</t>
  </si>
  <si>
    <t>Rodenbach</t>
  </si>
  <si>
    <t>Industriestrasse 19</t>
  </si>
  <si>
    <t>Hanau</t>
  </si>
  <si>
    <t>Industrieweg 45</t>
  </si>
  <si>
    <t>Neuhof</t>
  </si>
  <si>
    <t>Im Eichig</t>
  </si>
  <si>
    <t>Fulda</t>
  </si>
  <si>
    <t>Künzeller Str. 59</t>
  </si>
  <si>
    <t>Philippsburg</t>
  </si>
  <si>
    <t>Goodyearstrasse 1a</t>
  </si>
  <si>
    <t>CZ</t>
  </si>
  <si>
    <t>Okrouhlá – Jesenice</t>
  </si>
  <si>
    <t>350 02</t>
  </si>
  <si>
    <t>Jesenice 22</t>
  </si>
  <si>
    <t>CH</t>
  </si>
  <si>
    <t>Bülach</t>
  </si>
  <si>
    <t>Schützenmattstrasse 266</t>
  </si>
  <si>
    <t>AE</t>
  </si>
  <si>
    <t>Dubai</t>
  </si>
  <si>
    <t>Jebel Ali Freezone</t>
  </si>
  <si>
    <t>iso Country</t>
  </si>
  <si>
    <t>City</t>
  </si>
  <si>
    <t>Postal Code</t>
  </si>
  <si>
    <t>PO Box</t>
  </si>
  <si>
    <t>street address</t>
  </si>
  <si>
    <t>location</t>
  </si>
  <si>
    <t xml:space="preserve">25.074282 </t>
  </si>
  <si>
    <t>55.188539</t>
  </si>
  <si>
    <t xml:space="preserve">47.517232 </t>
  </si>
  <si>
    <t>8.540712</t>
  </si>
  <si>
    <t xml:space="preserve">50.070159 </t>
  </si>
  <si>
    <t>12.47364</t>
  </si>
  <si>
    <t xml:space="preserve">49.23675 </t>
  </si>
  <si>
    <t>8.454668</t>
  </si>
  <si>
    <t xml:space="preserve">50.554233 </t>
  </si>
  <si>
    <t>9.677045</t>
  </si>
  <si>
    <t xml:space="preserve">50.483708 </t>
  </si>
  <si>
    <t>9.600266</t>
  </si>
  <si>
    <t xml:space="preserve">50.132881 </t>
  </si>
  <si>
    <t>8.91698</t>
  </si>
  <si>
    <t xml:space="preserve">50.141277 </t>
  </si>
  <si>
    <t>9.026816</t>
  </si>
  <si>
    <t xml:space="preserve">50.76058 </t>
  </si>
  <si>
    <t>13.868154</t>
  </si>
  <si>
    <t xml:space="preserve">51.303824 </t>
  </si>
  <si>
    <t>13.308828</t>
  </si>
  <si>
    <t xml:space="preserve">54.11037 </t>
  </si>
  <si>
    <t>12.870848</t>
  </si>
  <si>
    <t xml:space="preserve">40.481823 </t>
  </si>
  <si>
    <t>-3.364213</t>
  </si>
  <si>
    <t xml:space="preserve">60.867924 </t>
  </si>
  <si>
    <t>26.704112</t>
  </si>
  <si>
    <t xml:space="preserve">49.868088 </t>
  </si>
  <si>
    <t>2.518383</t>
  </si>
  <si>
    <t xml:space="preserve">43.582733 </t>
  </si>
  <si>
    <t>5.002581</t>
  </si>
  <si>
    <t xml:space="preserve">49.894171 </t>
  </si>
  <si>
    <t>2.295695</t>
  </si>
  <si>
    <t>47.0239064</t>
  </si>
  <si>
    <t>4.8380426</t>
  </si>
  <si>
    <t>44.9332277</t>
  </si>
  <si>
    <t>4.8920811</t>
  </si>
  <si>
    <t>47.8665246</t>
  </si>
  <si>
    <t>7.3529099</t>
  </si>
  <si>
    <t>52.4552224</t>
  </si>
  <si>
    <t>-1.1997815</t>
  </si>
  <si>
    <t>38.047608</t>
  </si>
  <si>
    <t>23.5348663</t>
  </si>
  <si>
    <t>45.4558807</t>
  </si>
  <si>
    <t>8.5441897</t>
  </si>
  <si>
    <t>41.5942016</t>
  </si>
  <si>
    <t>12.6485765</t>
  </si>
  <si>
    <t>45.6843709</t>
  </si>
  <si>
    <t>9.7179982</t>
  </si>
  <si>
    <t>59.5597745</t>
  </si>
  <si>
    <t>10.7117139</t>
  </si>
  <si>
    <t>50.0259883</t>
  </si>
  <si>
    <t>20.9640584</t>
  </si>
  <si>
    <t>50.0619474</t>
  </si>
  <si>
    <t>19.9368564</t>
  </si>
  <si>
    <t>44.4748171</t>
  </si>
  <si>
    <t>25.9367105</t>
  </si>
  <si>
    <t>43.58264</t>
  </si>
  <si>
    <t>21.3264811</t>
  </si>
  <si>
    <t>44.8745083</t>
  </si>
  <si>
    <t>20.0891145</t>
  </si>
  <si>
    <t>57.7825634</t>
  </si>
  <si>
    <t>14.165719</t>
  </si>
  <si>
    <t>46.08333</t>
  </si>
  <si>
    <t>15</t>
  </si>
  <si>
    <t>40.713143</t>
  </si>
  <si>
    <t>30.3558365</t>
  </si>
  <si>
    <t>40.8580178</t>
  </si>
  <si>
    <t>29.4364915</t>
  </si>
  <si>
    <t>50.4500336</t>
  </si>
  <si>
    <t>30.5241361</t>
  </si>
  <si>
    <t>-33.7678979</t>
  </si>
  <si>
    <t>25.3978174</t>
  </si>
  <si>
    <t>-26.229444</t>
  </si>
  <si>
    <t>28.180556</t>
  </si>
  <si>
    <t>-33.91799</t>
  </si>
  <si>
    <t>25.57007</t>
  </si>
  <si>
    <t>latitude</t>
  </si>
  <si>
    <t>longitude</t>
  </si>
  <si>
    <t>location full name</t>
  </si>
  <si>
    <t>market</t>
  </si>
  <si>
    <t>Marcket</t>
  </si>
  <si>
    <t>AE01</t>
  </si>
  <si>
    <t>CH01</t>
  </si>
  <si>
    <t>CZ02</t>
  </si>
  <si>
    <t>CZ70</t>
  </si>
  <si>
    <t>DE01</t>
  </si>
  <si>
    <t>DE30</t>
  </si>
  <si>
    <t>DE31</t>
  </si>
  <si>
    <t>DE51</t>
  </si>
  <si>
    <t>DE52</t>
  </si>
  <si>
    <t>DE55</t>
  </si>
  <si>
    <t>DE56</t>
  </si>
  <si>
    <t>DEV4</t>
  </si>
  <si>
    <t>ES01</t>
  </si>
  <si>
    <t>FI01</t>
  </si>
  <si>
    <t>FR03</t>
  </si>
  <si>
    <t>FR13</t>
  </si>
  <si>
    <t>FR79</t>
  </si>
  <si>
    <t>FRV1</t>
  </si>
  <si>
    <t>FRV4</t>
  </si>
  <si>
    <t>FRV5</t>
  </si>
  <si>
    <t>GB01</t>
  </si>
  <si>
    <t>GR01</t>
  </si>
  <si>
    <t>IT01</t>
  </si>
  <si>
    <t>IT03</t>
  </si>
  <si>
    <t>ITV1</t>
  </si>
  <si>
    <t>NO02</t>
  </si>
  <si>
    <t>PL01</t>
  </si>
  <si>
    <t>PLV1</t>
  </si>
  <si>
    <t>RO01</t>
  </si>
  <si>
    <t>RS01</t>
  </si>
  <si>
    <t>RS02</t>
  </si>
  <si>
    <t>SE01</t>
  </si>
  <si>
    <t>SI01</t>
  </si>
  <si>
    <t>TR01</t>
  </si>
  <si>
    <t>TR03</t>
  </si>
  <si>
    <t>UA03</t>
  </si>
  <si>
    <t>UAV1</t>
  </si>
  <si>
    <t>ZA01</t>
  </si>
  <si>
    <t>ZA03</t>
  </si>
  <si>
    <t>ZA09</t>
  </si>
  <si>
    <t>-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</si>
</sst>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Barlow"/>
      <family val="2"/>
    </font>
    <font>
      <b/>
      <sz val="11"/>
      <color theme="1"/>
      <name val="Segoe UI Historic"/>
    </font>
    <font>
      <b/>
      <sz val="11"/>
      <color theme="1"/>
      <name val="Barlow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1" fillId="0" borderId="0" xfId="1"/>
    <xf numFmtId="0" fontId="2" fillId="2" borderId="1" xfId="1" applyFont="1" applyFill="1" applyBorder="1"/>
    <xf numFmtId="49" fontId="1" fillId="0" borderId="0" xfId="1" applyNumberFormat="1"/>
    <xf numFmtId="49" fontId="1" fillId="0" borderId="0" xfId="1" quotePrefix="1" applyNumberFormat="1"/>
    <xf numFmtId="0" fontId="3" fillId="0" borderId="0" xfId="1" applyFont="1"/>
  </cellXfs>
  <cellStyles count="2">
    <cellStyle name="Normal" xfId="0" builtinId="0"/>
    <cellStyle name="Normal 2" xfId="1" xr:uid="{93CCA82B-07D8-4A2E-B191-B1596055EE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838B4-3E2C-44B8-A337-9CD15F3FD2E4}">
  <dimension ref="A1:FH24"/>
  <sheetViews>
    <sheetView workbookViewId="0">
      <selection sqref="A1:XFD1048576"/>
    </sheetView>
  </sheetViews>
  <sheetFormatPr defaultRowHeight="14.4" x14ac:dyDescent="0.3"/>
  <cols>
    <col min="1" max="1" width="16.109375" bestFit="1" customWidth="1"/>
    <col min="2" max="2" width="13.77734375" bestFit="1" customWidth="1"/>
    <col min="3" max="3" width="6" bestFit="1" customWidth="1"/>
    <col min="4" max="4" width="8" bestFit="1" customWidth="1"/>
    <col min="5" max="5" width="7" bestFit="1" customWidth="1"/>
    <col min="6" max="12" width="5.21875" bestFit="1" customWidth="1"/>
    <col min="13" max="13" width="7" bestFit="1" customWidth="1"/>
    <col min="14" max="14" width="8" bestFit="1" customWidth="1"/>
    <col min="15" max="15" width="7" bestFit="1" customWidth="1"/>
    <col min="16" max="17" width="5.109375" bestFit="1" customWidth="1"/>
    <col min="18" max="18" width="8" bestFit="1" customWidth="1"/>
    <col min="19" max="24" width="7" bestFit="1" customWidth="1"/>
    <col min="25" max="25" width="4.33203125" bestFit="1" customWidth="1"/>
    <col min="26" max="26" width="6" bestFit="1" customWidth="1"/>
    <col min="27" max="27" width="7" bestFit="1" customWidth="1"/>
    <col min="28" max="28" width="8" bestFit="1" customWidth="1"/>
    <col min="29" max="29" width="6" bestFit="1" customWidth="1"/>
    <col min="30" max="30" width="7" bestFit="1" customWidth="1"/>
    <col min="31" max="32" width="5.109375" bestFit="1" customWidth="1"/>
    <col min="33" max="34" width="8" bestFit="1" customWidth="1"/>
    <col min="35" max="35" width="5" bestFit="1" customWidth="1"/>
    <col min="36" max="36" width="8" bestFit="1" customWidth="1"/>
    <col min="37" max="37" width="5.33203125" bestFit="1" customWidth="1"/>
    <col min="38" max="38" width="6" bestFit="1" customWidth="1"/>
    <col min="39" max="39" width="5" bestFit="1" customWidth="1"/>
    <col min="40" max="41" width="7" bestFit="1" customWidth="1"/>
    <col min="42" max="42" width="4.5546875" bestFit="1" customWidth="1"/>
    <col min="43" max="43" width="22.77734375" bestFit="1" customWidth="1"/>
    <col min="44" max="44" width="5.5546875" bestFit="1" customWidth="1"/>
    <col min="45" max="45" width="7" bestFit="1" customWidth="1"/>
    <col min="46" max="46" width="5.109375" bestFit="1" customWidth="1"/>
    <col min="47" max="53" width="5.21875" bestFit="1" customWidth="1"/>
    <col min="54" max="54" width="5.33203125" bestFit="1" customWidth="1"/>
    <col min="55" max="55" width="5" bestFit="1" customWidth="1"/>
    <col min="56" max="56" width="4.44140625" bestFit="1" customWidth="1"/>
    <col min="57" max="57" width="5.109375" bestFit="1" customWidth="1"/>
    <col min="58" max="59" width="8" bestFit="1" customWidth="1"/>
    <col min="60" max="62" width="5.21875" bestFit="1" customWidth="1"/>
    <col min="63" max="64" width="5.44140625" bestFit="1" customWidth="1"/>
    <col min="65" max="65" width="8" bestFit="1" customWidth="1"/>
    <col min="66" max="66" width="7" bestFit="1" customWidth="1"/>
    <col min="67" max="67" width="4.44140625" bestFit="1" customWidth="1"/>
    <col min="68" max="68" width="5.6640625" bestFit="1" customWidth="1"/>
    <col min="69" max="69" width="5" bestFit="1" customWidth="1"/>
    <col min="70" max="70" width="5.109375" bestFit="1" customWidth="1"/>
    <col min="71" max="71" width="5.44140625" bestFit="1" customWidth="1"/>
    <col min="72" max="73" width="5.109375" bestFit="1" customWidth="1"/>
    <col min="74" max="74" width="5" bestFit="1" customWidth="1"/>
    <col min="75" max="75" width="4.44140625" bestFit="1" customWidth="1"/>
    <col min="76" max="77" width="5" bestFit="1" customWidth="1"/>
    <col min="78" max="78" width="7" bestFit="1" customWidth="1"/>
    <col min="79" max="79" width="5.44140625" bestFit="1" customWidth="1"/>
    <col min="80" max="82" width="5" bestFit="1" customWidth="1"/>
    <col min="83" max="83" width="4.5546875" bestFit="1" customWidth="1"/>
    <col min="84" max="84" width="14" bestFit="1" customWidth="1"/>
    <col min="85" max="85" width="5.5546875" bestFit="1" customWidth="1"/>
    <col min="86" max="86" width="7" bestFit="1" customWidth="1"/>
    <col min="87" max="87" width="5.109375" bestFit="1" customWidth="1"/>
    <col min="88" max="94" width="5.21875" bestFit="1" customWidth="1"/>
    <col min="95" max="95" width="5.33203125" bestFit="1" customWidth="1"/>
    <col min="96" max="96" width="5" bestFit="1" customWidth="1"/>
    <col min="97" max="97" width="4.44140625" bestFit="1" customWidth="1"/>
    <col min="98" max="99" width="5.109375" bestFit="1" customWidth="1"/>
    <col min="100" max="100" width="8" bestFit="1" customWidth="1"/>
    <col min="101" max="103" width="5.21875" bestFit="1" customWidth="1"/>
    <col min="104" max="105" width="5.44140625" bestFit="1" customWidth="1"/>
    <col min="106" max="107" width="4.33203125" bestFit="1" customWidth="1"/>
    <col min="108" max="108" width="4.44140625" bestFit="1" customWidth="1"/>
    <col min="109" max="109" width="5.6640625" bestFit="1" customWidth="1"/>
    <col min="110" max="110" width="7" bestFit="1" customWidth="1"/>
    <col min="111" max="111" width="5.109375" bestFit="1" customWidth="1"/>
    <col min="112" max="112" width="5.44140625" bestFit="1" customWidth="1"/>
    <col min="113" max="114" width="5.109375" bestFit="1" customWidth="1"/>
    <col min="115" max="115" width="5" bestFit="1" customWidth="1"/>
    <col min="116" max="116" width="7" bestFit="1" customWidth="1"/>
    <col min="117" max="118" width="5" bestFit="1" customWidth="1"/>
    <col min="119" max="119" width="5.33203125" bestFit="1" customWidth="1"/>
    <col min="120" max="120" width="5.44140625" bestFit="1" customWidth="1"/>
    <col min="121" max="122" width="5" bestFit="1" customWidth="1"/>
    <col min="123" max="123" width="7" bestFit="1" customWidth="1"/>
    <col min="124" max="124" width="5" bestFit="1" customWidth="1"/>
    <col min="125" max="125" width="26.33203125" bestFit="1" customWidth="1"/>
    <col min="126" max="126" width="5.5546875" bestFit="1" customWidth="1"/>
    <col min="127" max="128" width="5.109375" bestFit="1" customWidth="1"/>
    <col min="129" max="130" width="5.21875" bestFit="1" customWidth="1"/>
    <col min="131" max="132" width="6" bestFit="1" customWidth="1"/>
    <col min="133" max="135" width="7" bestFit="1" customWidth="1"/>
    <col min="136" max="136" width="5.33203125" bestFit="1" customWidth="1"/>
    <col min="137" max="137" width="5" bestFit="1" customWidth="1"/>
    <col min="138" max="138" width="4.44140625" bestFit="1" customWidth="1"/>
    <col min="139" max="140" width="5.109375" bestFit="1" customWidth="1"/>
    <col min="141" max="141" width="7" bestFit="1" customWidth="1"/>
    <col min="142" max="144" width="5.21875" bestFit="1" customWidth="1"/>
    <col min="145" max="146" width="5.44140625" bestFit="1" customWidth="1"/>
    <col min="147" max="148" width="4.33203125" bestFit="1" customWidth="1"/>
    <col min="149" max="149" width="4.44140625" bestFit="1" customWidth="1"/>
    <col min="150" max="150" width="5.6640625" bestFit="1" customWidth="1"/>
    <col min="151" max="151" width="8" bestFit="1" customWidth="1"/>
    <col min="152" max="152" width="5.109375" bestFit="1" customWidth="1"/>
    <col min="153" max="153" width="5.44140625" bestFit="1" customWidth="1"/>
    <col min="154" max="154" width="5.109375" bestFit="1" customWidth="1"/>
    <col min="155" max="155" width="7" bestFit="1" customWidth="1"/>
    <col min="156" max="156" width="5" bestFit="1" customWidth="1"/>
    <col min="157" max="157" width="8" bestFit="1" customWidth="1"/>
    <col min="158" max="158" width="7" bestFit="1" customWidth="1"/>
    <col min="159" max="159" width="5" bestFit="1" customWidth="1"/>
    <col min="160" max="160" width="5.33203125" bestFit="1" customWidth="1"/>
    <col min="161" max="161" width="5.44140625" bestFit="1" customWidth="1"/>
    <col min="162" max="162" width="6" bestFit="1" customWidth="1"/>
    <col min="163" max="164" width="5" bestFit="1" customWidth="1"/>
  </cols>
  <sheetData>
    <row r="1" spans="1:164" x14ac:dyDescent="0.3">
      <c r="B1" t="s">
        <v>0</v>
      </c>
      <c r="AQ1" t="s">
        <v>1</v>
      </c>
      <c r="CF1" t="s">
        <v>2</v>
      </c>
      <c r="DU1" t="s">
        <v>3</v>
      </c>
    </row>
    <row r="2" spans="1:164" x14ac:dyDescent="0.3">
      <c r="A2" t="s">
        <v>256</v>
      </c>
      <c r="B2" t="s">
        <v>257</v>
      </c>
      <c r="C2" t="s">
        <v>258</v>
      </c>
      <c r="D2" t="s">
        <v>259</v>
      </c>
      <c r="E2" t="s">
        <v>260</v>
      </c>
      <c r="F2" t="s">
        <v>261</v>
      </c>
      <c r="G2" t="s">
        <v>262</v>
      </c>
      <c r="H2" t="s">
        <v>263</v>
      </c>
      <c r="I2" t="s">
        <v>264</v>
      </c>
      <c r="J2" t="s">
        <v>265</v>
      </c>
      <c r="K2" t="s">
        <v>266</v>
      </c>
      <c r="L2" t="s">
        <v>267</v>
      </c>
      <c r="M2" t="s">
        <v>268</v>
      </c>
      <c r="N2" t="s">
        <v>269</v>
      </c>
      <c r="O2" t="s">
        <v>270</v>
      </c>
      <c r="P2" t="s">
        <v>271</v>
      </c>
      <c r="Q2" t="s">
        <v>272</v>
      </c>
      <c r="R2" t="s">
        <v>273</v>
      </c>
      <c r="S2" t="s">
        <v>274</v>
      </c>
      <c r="T2" t="s">
        <v>275</v>
      </c>
      <c r="U2" t="s">
        <v>276</v>
      </c>
      <c r="V2" t="s">
        <v>277</v>
      </c>
      <c r="W2" t="s">
        <v>278</v>
      </c>
      <c r="X2" t="s">
        <v>279</v>
      </c>
      <c r="Y2" t="s">
        <v>280</v>
      </c>
      <c r="Z2" t="s">
        <v>281</v>
      </c>
      <c r="AA2" t="s">
        <v>282</v>
      </c>
      <c r="AB2" t="s">
        <v>283</v>
      </c>
      <c r="AC2" t="s">
        <v>284</v>
      </c>
      <c r="AD2" t="s">
        <v>285</v>
      </c>
      <c r="AE2" t="s">
        <v>286</v>
      </c>
      <c r="AF2" t="s">
        <v>287</v>
      </c>
      <c r="AG2" t="s">
        <v>288</v>
      </c>
      <c r="AH2" t="s">
        <v>289</v>
      </c>
      <c r="AI2" t="s">
        <v>290</v>
      </c>
      <c r="AJ2" t="s">
        <v>291</v>
      </c>
      <c r="AK2" t="s">
        <v>292</v>
      </c>
      <c r="AL2" t="s">
        <v>293</v>
      </c>
      <c r="AM2" t="s">
        <v>294</v>
      </c>
      <c r="AN2" t="s">
        <v>295</v>
      </c>
      <c r="AO2" t="s">
        <v>296</v>
      </c>
      <c r="AP2" t="s">
        <v>297</v>
      </c>
      <c r="AQ2" t="s">
        <v>257</v>
      </c>
      <c r="AR2" t="s">
        <v>258</v>
      </c>
      <c r="AS2" t="s">
        <v>259</v>
      </c>
      <c r="AT2" t="s">
        <v>260</v>
      </c>
      <c r="AU2" t="s">
        <v>261</v>
      </c>
      <c r="AV2" t="s">
        <v>262</v>
      </c>
      <c r="AW2" t="s">
        <v>263</v>
      </c>
      <c r="AX2" t="s">
        <v>264</v>
      </c>
      <c r="AY2" t="s">
        <v>265</v>
      </c>
      <c r="AZ2" t="s">
        <v>266</v>
      </c>
      <c r="BA2" t="s">
        <v>267</v>
      </c>
      <c r="BB2" t="s">
        <v>268</v>
      </c>
      <c r="BC2" t="s">
        <v>269</v>
      </c>
      <c r="BD2" t="s">
        <v>270</v>
      </c>
      <c r="BE2" t="s">
        <v>271</v>
      </c>
      <c r="BF2" t="s">
        <v>272</v>
      </c>
      <c r="BG2" t="s">
        <v>273</v>
      </c>
      <c r="BH2" t="s">
        <v>274</v>
      </c>
      <c r="BI2" t="s">
        <v>275</v>
      </c>
      <c r="BJ2" t="s">
        <v>276</v>
      </c>
      <c r="BK2" t="s">
        <v>277</v>
      </c>
      <c r="BL2" t="s">
        <v>278</v>
      </c>
      <c r="BM2" t="s">
        <v>279</v>
      </c>
      <c r="BN2" t="s">
        <v>280</v>
      </c>
      <c r="BO2" t="s">
        <v>281</v>
      </c>
      <c r="BP2" t="s">
        <v>282</v>
      </c>
      <c r="BQ2" t="s">
        <v>283</v>
      </c>
      <c r="BR2" t="s">
        <v>284</v>
      </c>
      <c r="BS2" t="s">
        <v>285</v>
      </c>
      <c r="BT2" t="s">
        <v>286</v>
      </c>
      <c r="BU2" t="s">
        <v>287</v>
      </c>
      <c r="BV2" t="s">
        <v>288</v>
      </c>
      <c r="BW2" t="s">
        <v>289</v>
      </c>
      <c r="BX2" t="s">
        <v>290</v>
      </c>
      <c r="BY2" t="s">
        <v>291</v>
      </c>
      <c r="BZ2" t="s">
        <v>292</v>
      </c>
      <c r="CA2" t="s">
        <v>293</v>
      </c>
      <c r="CB2" t="s">
        <v>294</v>
      </c>
      <c r="CC2" t="s">
        <v>295</v>
      </c>
      <c r="CD2" t="s">
        <v>296</v>
      </c>
      <c r="CE2" t="s">
        <v>297</v>
      </c>
      <c r="CF2" t="s">
        <v>257</v>
      </c>
      <c r="CG2" t="s">
        <v>258</v>
      </c>
      <c r="CH2" t="s">
        <v>259</v>
      </c>
      <c r="CI2" t="s">
        <v>260</v>
      </c>
      <c r="CJ2" t="s">
        <v>261</v>
      </c>
      <c r="CK2" t="s">
        <v>262</v>
      </c>
      <c r="CL2" t="s">
        <v>263</v>
      </c>
      <c r="CM2" t="s">
        <v>264</v>
      </c>
      <c r="CN2" t="s">
        <v>265</v>
      </c>
      <c r="CO2" t="s">
        <v>266</v>
      </c>
      <c r="CP2" t="s">
        <v>267</v>
      </c>
      <c r="CQ2" t="s">
        <v>268</v>
      </c>
      <c r="CR2" t="s">
        <v>269</v>
      </c>
      <c r="CS2" t="s">
        <v>270</v>
      </c>
      <c r="CT2" t="s">
        <v>271</v>
      </c>
      <c r="CU2" t="s">
        <v>272</v>
      </c>
      <c r="CV2" t="s">
        <v>273</v>
      </c>
      <c r="CW2" t="s">
        <v>274</v>
      </c>
      <c r="CX2" t="s">
        <v>275</v>
      </c>
      <c r="CY2" t="s">
        <v>276</v>
      </c>
      <c r="CZ2" t="s">
        <v>277</v>
      </c>
      <c r="DA2" t="s">
        <v>278</v>
      </c>
      <c r="DB2" t="s">
        <v>279</v>
      </c>
      <c r="DC2" t="s">
        <v>280</v>
      </c>
      <c r="DD2" t="s">
        <v>281</v>
      </c>
      <c r="DE2" t="s">
        <v>282</v>
      </c>
      <c r="DF2" t="s">
        <v>283</v>
      </c>
      <c r="DG2" t="s">
        <v>284</v>
      </c>
      <c r="DH2" t="s">
        <v>285</v>
      </c>
      <c r="DI2" t="s">
        <v>286</v>
      </c>
      <c r="DJ2" t="s">
        <v>287</v>
      </c>
      <c r="DK2" t="s">
        <v>288</v>
      </c>
      <c r="DL2" t="s">
        <v>289</v>
      </c>
      <c r="DM2" t="s">
        <v>290</v>
      </c>
      <c r="DN2" t="s">
        <v>291</v>
      </c>
      <c r="DO2" t="s">
        <v>292</v>
      </c>
      <c r="DP2" t="s">
        <v>293</v>
      </c>
      <c r="DQ2" t="s">
        <v>294</v>
      </c>
      <c r="DR2" t="s">
        <v>295</v>
      </c>
      <c r="DS2" t="s">
        <v>296</v>
      </c>
      <c r="DT2" t="s">
        <v>297</v>
      </c>
      <c r="DU2" t="s">
        <v>257</v>
      </c>
      <c r="DV2" t="s">
        <v>258</v>
      </c>
      <c r="DW2" t="s">
        <v>259</v>
      </c>
      <c r="DX2" t="s">
        <v>260</v>
      </c>
      <c r="DY2" t="s">
        <v>261</v>
      </c>
      <c r="DZ2" t="s">
        <v>262</v>
      </c>
      <c r="EA2" t="s">
        <v>263</v>
      </c>
      <c r="EB2" t="s">
        <v>264</v>
      </c>
      <c r="EC2" t="s">
        <v>265</v>
      </c>
      <c r="ED2" t="s">
        <v>266</v>
      </c>
      <c r="EE2" t="s">
        <v>267</v>
      </c>
      <c r="EF2" t="s">
        <v>268</v>
      </c>
      <c r="EG2" t="s">
        <v>269</v>
      </c>
      <c r="EH2" t="s">
        <v>270</v>
      </c>
      <c r="EI2" t="s">
        <v>271</v>
      </c>
      <c r="EJ2" t="s">
        <v>272</v>
      </c>
      <c r="EK2" t="s">
        <v>273</v>
      </c>
      <c r="EL2" t="s">
        <v>274</v>
      </c>
      <c r="EM2" t="s">
        <v>275</v>
      </c>
      <c r="EN2" t="s">
        <v>276</v>
      </c>
      <c r="EO2" t="s">
        <v>277</v>
      </c>
      <c r="EP2" t="s">
        <v>278</v>
      </c>
      <c r="EQ2" t="s">
        <v>279</v>
      </c>
      <c r="ER2" t="s">
        <v>280</v>
      </c>
      <c r="ES2" t="s">
        <v>281</v>
      </c>
      <c r="ET2" t="s">
        <v>282</v>
      </c>
      <c r="EU2" t="s">
        <v>283</v>
      </c>
      <c r="EV2" t="s">
        <v>284</v>
      </c>
      <c r="EW2" t="s">
        <v>285</v>
      </c>
      <c r="EX2" t="s">
        <v>286</v>
      </c>
      <c r="EY2" t="s">
        <v>287</v>
      </c>
      <c r="EZ2" t="s">
        <v>288</v>
      </c>
      <c r="FA2" t="s">
        <v>289</v>
      </c>
      <c r="FB2" t="s">
        <v>290</v>
      </c>
      <c r="FC2" t="s">
        <v>291</v>
      </c>
      <c r="FD2" t="s">
        <v>292</v>
      </c>
      <c r="FE2" t="s">
        <v>293</v>
      </c>
      <c r="FF2" t="s">
        <v>294</v>
      </c>
      <c r="FG2" t="s">
        <v>295</v>
      </c>
      <c r="FH2" t="s">
        <v>296</v>
      </c>
    </row>
    <row r="3" spans="1:164" x14ac:dyDescent="0.3">
      <c r="A3" t="s">
        <v>44</v>
      </c>
      <c r="H3">
        <v>0</v>
      </c>
      <c r="J3">
        <v>0</v>
      </c>
      <c r="K3">
        <v>0</v>
      </c>
      <c r="L3">
        <v>0</v>
      </c>
      <c r="R3">
        <v>1480</v>
      </c>
      <c r="AB3">
        <v>0</v>
      </c>
      <c r="AE3">
        <v>0</v>
      </c>
      <c r="AF3">
        <v>0</v>
      </c>
      <c r="AH3">
        <v>1519784</v>
      </c>
      <c r="AI3">
        <v>0</v>
      </c>
      <c r="AW3">
        <v>0</v>
      </c>
      <c r="AY3">
        <v>0</v>
      </c>
      <c r="AZ3">
        <v>0</v>
      </c>
      <c r="BA3">
        <v>0</v>
      </c>
      <c r="BG3">
        <v>0</v>
      </c>
      <c r="BQ3">
        <v>0</v>
      </c>
      <c r="BT3">
        <v>0</v>
      </c>
      <c r="BU3">
        <v>0</v>
      </c>
      <c r="BW3">
        <v>0</v>
      </c>
      <c r="BX3">
        <v>0</v>
      </c>
      <c r="CL3">
        <v>0</v>
      </c>
      <c r="CN3">
        <v>0</v>
      </c>
      <c r="CO3">
        <v>0</v>
      </c>
      <c r="CP3">
        <v>0</v>
      </c>
      <c r="CV3">
        <v>6912</v>
      </c>
      <c r="DF3">
        <v>0</v>
      </c>
      <c r="DI3">
        <v>0</v>
      </c>
      <c r="DJ3">
        <v>0</v>
      </c>
      <c r="DL3">
        <v>177254</v>
      </c>
      <c r="DM3">
        <v>0</v>
      </c>
      <c r="EA3">
        <v>22</v>
      </c>
      <c r="EC3">
        <v>38283</v>
      </c>
      <c r="ED3">
        <v>13843</v>
      </c>
      <c r="EE3">
        <v>74831</v>
      </c>
      <c r="EK3">
        <v>36831</v>
      </c>
      <c r="EU3">
        <v>635172</v>
      </c>
      <c r="EX3">
        <v>130</v>
      </c>
      <c r="EY3">
        <v>38660</v>
      </c>
      <c r="FA3">
        <v>565310</v>
      </c>
      <c r="FB3">
        <v>2334</v>
      </c>
    </row>
    <row r="4" spans="1:164" x14ac:dyDescent="0.3">
      <c r="A4" t="s">
        <v>45</v>
      </c>
      <c r="D4">
        <v>0</v>
      </c>
      <c r="R4">
        <v>1215</v>
      </c>
      <c r="AH4">
        <v>6294</v>
      </c>
      <c r="AP4">
        <v>0</v>
      </c>
      <c r="AS4">
        <v>748098</v>
      </c>
      <c r="BG4">
        <v>0</v>
      </c>
      <c r="BW4">
        <v>0</v>
      </c>
      <c r="CE4">
        <v>0</v>
      </c>
      <c r="CH4">
        <v>155956</v>
      </c>
      <c r="CV4">
        <v>4045</v>
      </c>
      <c r="DL4">
        <v>0</v>
      </c>
      <c r="DT4">
        <v>0</v>
      </c>
      <c r="DW4">
        <v>0</v>
      </c>
      <c r="EK4">
        <v>0</v>
      </c>
      <c r="FA4">
        <v>6300</v>
      </c>
    </row>
    <row r="5" spans="1:164" x14ac:dyDescent="0.3">
      <c r="A5" t="s">
        <v>46</v>
      </c>
      <c r="F5">
        <v>0</v>
      </c>
      <c r="H5">
        <v>0</v>
      </c>
      <c r="J5">
        <v>0</v>
      </c>
      <c r="K5">
        <v>0</v>
      </c>
      <c r="L5">
        <v>0</v>
      </c>
      <c r="R5">
        <v>1358</v>
      </c>
      <c r="AB5">
        <v>7618</v>
      </c>
      <c r="AF5">
        <v>0</v>
      </c>
      <c r="AH5">
        <v>0</v>
      </c>
      <c r="AI5">
        <v>0</v>
      </c>
      <c r="AM5">
        <v>0</v>
      </c>
      <c r="AP5">
        <v>0</v>
      </c>
      <c r="AU5">
        <v>0</v>
      </c>
      <c r="AW5">
        <v>0</v>
      </c>
      <c r="AY5">
        <v>0</v>
      </c>
      <c r="AZ5">
        <v>0</v>
      </c>
      <c r="BA5">
        <v>0</v>
      </c>
      <c r="BG5">
        <v>0</v>
      </c>
      <c r="BQ5">
        <v>0</v>
      </c>
      <c r="BU5">
        <v>0</v>
      </c>
      <c r="BW5">
        <v>0</v>
      </c>
      <c r="BX5">
        <v>0</v>
      </c>
      <c r="CB5">
        <v>0</v>
      </c>
      <c r="CE5">
        <v>0</v>
      </c>
      <c r="CJ5">
        <v>0</v>
      </c>
      <c r="CL5">
        <v>0</v>
      </c>
      <c r="CN5">
        <v>0</v>
      </c>
      <c r="CO5">
        <v>0</v>
      </c>
      <c r="CP5">
        <v>0</v>
      </c>
      <c r="CV5">
        <v>11946</v>
      </c>
      <c r="DF5">
        <v>128480</v>
      </c>
      <c r="DJ5">
        <v>0</v>
      </c>
      <c r="DL5">
        <v>0</v>
      </c>
      <c r="DM5">
        <v>0</v>
      </c>
      <c r="DQ5">
        <v>0</v>
      </c>
      <c r="DT5">
        <v>0</v>
      </c>
      <c r="DY5">
        <v>2</v>
      </c>
      <c r="EA5">
        <v>46</v>
      </c>
      <c r="EC5">
        <v>902</v>
      </c>
      <c r="ED5">
        <v>364</v>
      </c>
      <c r="EE5">
        <v>1772</v>
      </c>
      <c r="EK5">
        <v>1526</v>
      </c>
      <c r="EU5">
        <v>4510</v>
      </c>
      <c r="EY5">
        <v>468</v>
      </c>
      <c r="FA5">
        <v>2052</v>
      </c>
      <c r="FB5">
        <v>328</v>
      </c>
      <c r="FF5">
        <v>0</v>
      </c>
    </row>
    <row r="6" spans="1:164" x14ac:dyDescent="0.3">
      <c r="A6" t="s">
        <v>47</v>
      </c>
      <c r="J6">
        <v>0</v>
      </c>
      <c r="K6">
        <v>0</v>
      </c>
      <c r="L6">
        <v>0</v>
      </c>
      <c r="R6">
        <v>1024574</v>
      </c>
      <c r="AB6">
        <v>0</v>
      </c>
      <c r="AF6">
        <v>0</v>
      </c>
      <c r="AH6">
        <v>0</v>
      </c>
      <c r="AY6">
        <v>0</v>
      </c>
      <c r="AZ6">
        <v>0</v>
      </c>
      <c r="BA6">
        <v>0</v>
      </c>
      <c r="BG6">
        <v>0</v>
      </c>
      <c r="BQ6">
        <v>0</v>
      </c>
      <c r="BU6">
        <v>0</v>
      </c>
      <c r="BW6">
        <v>0</v>
      </c>
      <c r="CN6">
        <v>0</v>
      </c>
      <c r="CO6">
        <v>0</v>
      </c>
      <c r="CP6">
        <v>0</v>
      </c>
      <c r="CV6">
        <v>176700</v>
      </c>
      <c r="DF6">
        <v>50828</v>
      </c>
      <c r="DJ6">
        <v>0</v>
      </c>
      <c r="DL6">
        <v>0</v>
      </c>
      <c r="EC6">
        <v>122192</v>
      </c>
      <c r="ED6">
        <v>10286</v>
      </c>
      <c r="EE6">
        <v>95474</v>
      </c>
      <c r="EK6">
        <v>110874</v>
      </c>
      <c r="EU6">
        <v>219234</v>
      </c>
      <c r="EY6">
        <v>88414</v>
      </c>
      <c r="FA6">
        <v>186720</v>
      </c>
    </row>
    <row r="7" spans="1:164" x14ac:dyDescent="0.3">
      <c r="A7" t="s">
        <v>48</v>
      </c>
      <c r="J7">
        <v>0</v>
      </c>
      <c r="K7">
        <v>0</v>
      </c>
      <c r="L7">
        <v>0</v>
      </c>
      <c r="R7">
        <v>1152</v>
      </c>
      <c r="AB7">
        <v>0</v>
      </c>
      <c r="AD7">
        <v>160628</v>
      </c>
      <c r="AE7">
        <v>0</v>
      </c>
      <c r="AF7">
        <v>0</v>
      </c>
      <c r="AH7">
        <v>0</v>
      </c>
      <c r="AY7">
        <v>0</v>
      </c>
      <c r="AZ7">
        <v>0</v>
      </c>
      <c r="BA7">
        <v>0</v>
      </c>
      <c r="BG7">
        <v>0</v>
      </c>
      <c r="BQ7">
        <v>0</v>
      </c>
      <c r="BS7">
        <v>0</v>
      </c>
      <c r="BT7">
        <v>0</v>
      </c>
      <c r="BU7">
        <v>0</v>
      </c>
      <c r="BW7">
        <v>0</v>
      </c>
      <c r="CN7">
        <v>0</v>
      </c>
      <c r="CO7">
        <v>0</v>
      </c>
      <c r="CP7">
        <v>0</v>
      </c>
      <c r="CV7">
        <v>2876</v>
      </c>
      <c r="DF7">
        <v>81004</v>
      </c>
      <c r="DH7">
        <v>0</v>
      </c>
      <c r="DI7">
        <v>0</v>
      </c>
      <c r="DJ7">
        <v>0</v>
      </c>
      <c r="DL7">
        <v>0</v>
      </c>
      <c r="EC7">
        <v>10236</v>
      </c>
      <c r="ED7">
        <v>2650</v>
      </c>
      <c r="EE7">
        <v>23698</v>
      </c>
      <c r="EK7">
        <v>25542</v>
      </c>
      <c r="EU7">
        <v>152900</v>
      </c>
      <c r="EW7">
        <v>0</v>
      </c>
      <c r="EX7">
        <v>26</v>
      </c>
      <c r="EY7">
        <v>16732</v>
      </c>
      <c r="FA7">
        <v>63794</v>
      </c>
    </row>
    <row r="8" spans="1:164" x14ac:dyDescent="0.3">
      <c r="A8" t="s">
        <v>49</v>
      </c>
      <c r="D8">
        <v>495162</v>
      </c>
      <c r="J8">
        <v>0</v>
      </c>
      <c r="K8">
        <v>0</v>
      </c>
      <c r="L8">
        <v>0</v>
      </c>
      <c r="R8">
        <v>3935</v>
      </c>
      <c r="AB8">
        <v>0</v>
      </c>
      <c r="AH8">
        <v>0</v>
      </c>
      <c r="AI8">
        <v>0</v>
      </c>
      <c r="AS8">
        <v>0</v>
      </c>
      <c r="AY8">
        <v>0</v>
      </c>
      <c r="AZ8">
        <v>0</v>
      </c>
      <c r="BA8">
        <v>0</v>
      </c>
      <c r="BG8">
        <v>0</v>
      </c>
      <c r="BQ8">
        <v>0</v>
      </c>
      <c r="BW8">
        <v>0</v>
      </c>
      <c r="BX8">
        <v>0</v>
      </c>
      <c r="CH8">
        <v>0</v>
      </c>
      <c r="CN8">
        <v>0</v>
      </c>
      <c r="CO8">
        <v>0</v>
      </c>
      <c r="CP8">
        <v>0</v>
      </c>
      <c r="CV8">
        <v>7589</v>
      </c>
      <c r="DF8">
        <v>4112</v>
      </c>
      <c r="DL8">
        <v>0</v>
      </c>
      <c r="DM8">
        <v>0</v>
      </c>
      <c r="DW8">
        <v>0</v>
      </c>
      <c r="EC8">
        <v>14296</v>
      </c>
      <c r="ED8">
        <v>6384</v>
      </c>
      <c r="EE8">
        <v>37646</v>
      </c>
      <c r="EK8">
        <v>19144</v>
      </c>
      <c r="EU8">
        <v>145378</v>
      </c>
      <c r="FA8">
        <v>44692</v>
      </c>
      <c r="FB8">
        <v>3772</v>
      </c>
    </row>
    <row r="9" spans="1:164" x14ac:dyDescent="0.3">
      <c r="A9" t="s">
        <v>50</v>
      </c>
      <c r="D9">
        <v>0</v>
      </c>
      <c r="H9">
        <v>0</v>
      </c>
      <c r="J9">
        <v>0</v>
      </c>
      <c r="K9">
        <v>0</v>
      </c>
      <c r="L9">
        <v>0</v>
      </c>
      <c r="Q9">
        <v>0</v>
      </c>
      <c r="R9">
        <v>17734</v>
      </c>
      <c r="S9">
        <v>227385</v>
      </c>
      <c r="T9">
        <v>125557</v>
      </c>
      <c r="U9">
        <v>163533</v>
      </c>
      <c r="AB9">
        <v>0</v>
      </c>
      <c r="AE9">
        <v>0</v>
      </c>
      <c r="AF9">
        <v>0</v>
      </c>
      <c r="AH9">
        <v>0</v>
      </c>
      <c r="AI9">
        <v>0</v>
      </c>
      <c r="AM9">
        <v>0</v>
      </c>
      <c r="AP9">
        <v>0</v>
      </c>
      <c r="AS9">
        <v>0</v>
      </c>
      <c r="AW9">
        <v>0</v>
      </c>
      <c r="AY9">
        <v>0</v>
      </c>
      <c r="AZ9">
        <v>0</v>
      </c>
      <c r="BA9">
        <v>0</v>
      </c>
      <c r="BF9">
        <v>1051662</v>
      </c>
      <c r="BG9">
        <v>1434442</v>
      </c>
      <c r="BH9">
        <v>0</v>
      </c>
      <c r="BI9">
        <v>0</v>
      </c>
      <c r="BJ9">
        <v>0</v>
      </c>
      <c r="BQ9">
        <v>0</v>
      </c>
      <c r="BT9">
        <v>0</v>
      </c>
      <c r="BU9">
        <v>0</v>
      </c>
      <c r="BW9">
        <v>0</v>
      </c>
      <c r="BX9">
        <v>0</v>
      </c>
      <c r="CB9">
        <v>0</v>
      </c>
      <c r="CE9">
        <v>0</v>
      </c>
      <c r="CH9">
        <v>14447</v>
      </c>
      <c r="CL9">
        <v>0</v>
      </c>
      <c r="CN9">
        <v>0</v>
      </c>
      <c r="CO9">
        <v>0</v>
      </c>
      <c r="CP9">
        <v>0</v>
      </c>
      <c r="CU9">
        <v>0</v>
      </c>
      <c r="CV9">
        <v>811399</v>
      </c>
      <c r="CW9">
        <v>0</v>
      </c>
      <c r="CX9">
        <v>0</v>
      </c>
      <c r="CY9">
        <v>0</v>
      </c>
      <c r="DF9">
        <v>0</v>
      </c>
      <c r="DI9">
        <v>0</v>
      </c>
      <c r="DJ9">
        <v>0</v>
      </c>
      <c r="DL9">
        <v>0</v>
      </c>
      <c r="DM9">
        <v>0</v>
      </c>
      <c r="DQ9">
        <v>0</v>
      </c>
      <c r="DT9">
        <v>0</v>
      </c>
      <c r="DW9">
        <v>0</v>
      </c>
      <c r="EA9">
        <v>6692</v>
      </c>
      <c r="EC9">
        <v>129479</v>
      </c>
      <c r="ED9">
        <v>8275</v>
      </c>
      <c r="EE9">
        <v>93756</v>
      </c>
      <c r="EJ9">
        <v>0</v>
      </c>
      <c r="EK9">
        <v>120914</v>
      </c>
      <c r="EL9">
        <v>0</v>
      </c>
      <c r="EM9">
        <v>0</v>
      </c>
      <c r="EN9">
        <v>0</v>
      </c>
      <c r="EU9">
        <v>349560</v>
      </c>
      <c r="EX9">
        <v>0</v>
      </c>
      <c r="EY9">
        <v>113604</v>
      </c>
      <c r="FA9">
        <v>229315</v>
      </c>
      <c r="FB9">
        <v>8240</v>
      </c>
      <c r="FF9">
        <v>0</v>
      </c>
    </row>
    <row r="10" spans="1:164" x14ac:dyDescent="0.3">
      <c r="A10" t="s">
        <v>51</v>
      </c>
      <c r="B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R10">
        <v>2233</v>
      </c>
      <c r="AB10">
        <v>0</v>
      </c>
      <c r="AE10">
        <v>0</v>
      </c>
      <c r="AF10">
        <v>0</v>
      </c>
      <c r="AH10">
        <v>0</v>
      </c>
      <c r="AI10">
        <v>0</v>
      </c>
      <c r="AM10">
        <v>0</v>
      </c>
      <c r="AP10">
        <v>0</v>
      </c>
      <c r="AQ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G10">
        <v>0</v>
      </c>
      <c r="BQ10">
        <v>0</v>
      </c>
      <c r="BT10">
        <v>0</v>
      </c>
      <c r="BU10">
        <v>0</v>
      </c>
      <c r="BW10">
        <v>0</v>
      </c>
      <c r="BX10">
        <v>0</v>
      </c>
      <c r="CB10">
        <v>0</v>
      </c>
      <c r="CE10">
        <v>0</v>
      </c>
      <c r="CF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V10">
        <v>38555</v>
      </c>
      <c r="DF10">
        <v>0</v>
      </c>
      <c r="DI10">
        <v>0</v>
      </c>
      <c r="DJ10">
        <v>0</v>
      </c>
      <c r="DL10">
        <v>0</v>
      </c>
      <c r="DM10">
        <v>0</v>
      </c>
      <c r="DQ10">
        <v>0</v>
      </c>
      <c r="DT10">
        <v>0</v>
      </c>
      <c r="DU10">
        <v>201362</v>
      </c>
      <c r="DZ10">
        <v>1016</v>
      </c>
      <c r="EA10">
        <v>32532</v>
      </c>
      <c r="EB10">
        <v>11648</v>
      </c>
      <c r="EC10">
        <v>204064</v>
      </c>
      <c r="ED10">
        <v>86700</v>
      </c>
      <c r="EE10">
        <v>180374</v>
      </c>
      <c r="EK10">
        <v>105852</v>
      </c>
      <c r="EU10">
        <v>288224</v>
      </c>
      <c r="EX10">
        <v>210</v>
      </c>
      <c r="EY10">
        <v>25232</v>
      </c>
      <c r="FA10">
        <v>240190</v>
      </c>
      <c r="FB10">
        <v>74306</v>
      </c>
      <c r="FF10">
        <v>20</v>
      </c>
    </row>
    <row r="11" spans="1:164" x14ac:dyDescent="0.3">
      <c r="A11" t="s">
        <v>52</v>
      </c>
      <c r="D11">
        <v>5308234</v>
      </c>
      <c r="E11">
        <v>158240</v>
      </c>
      <c r="H11">
        <v>0</v>
      </c>
      <c r="J11">
        <v>0</v>
      </c>
      <c r="K11">
        <v>0</v>
      </c>
      <c r="L11">
        <v>0</v>
      </c>
      <c r="M11">
        <v>180953</v>
      </c>
      <c r="R11">
        <v>18536</v>
      </c>
      <c r="AB11">
        <v>0</v>
      </c>
      <c r="AF11">
        <v>0</v>
      </c>
      <c r="AH11">
        <v>0</v>
      </c>
      <c r="AI11">
        <v>0</v>
      </c>
      <c r="AP11">
        <v>0</v>
      </c>
      <c r="AS11">
        <v>0</v>
      </c>
      <c r="AT11">
        <v>0</v>
      </c>
      <c r="AW11">
        <v>0</v>
      </c>
      <c r="AY11">
        <v>0</v>
      </c>
      <c r="AZ11">
        <v>0</v>
      </c>
      <c r="BA11">
        <v>0</v>
      </c>
      <c r="BB11">
        <v>0</v>
      </c>
      <c r="BG11">
        <v>0</v>
      </c>
      <c r="BQ11">
        <v>0</v>
      </c>
      <c r="BU11">
        <v>0</v>
      </c>
      <c r="BW11">
        <v>0</v>
      </c>
      <c r="BX11">
        <v>0</v>
      </c>
      <c r="CE11">
        <v>0</v>
      </c>
      <c r="CH11">
        <v>162626</v>
      </c>
      <c r="CI11">
        <v>0</v>
      </c>
      <c r="CL11">
        <v>0</v>
      </c>
      <c r="CN11">
        <v>0</v>
      </c>
      <c r="CO11">
        <v>0</v>
      </c>
      <c r="CP11">
        <v>0</v>
      </c>
      <c r="CQ11">
        <v>0</v>
      </c>
      <c r="CV11">
        <v>47434</v>
      </c>
      <c r="DF11">
        <v>0</v>
      </c>
      <c r="DJ11">
        <v>0</v>
      </c>
      <c r="DL11">
        <v>0</v>
      </c>
      <c r="DM11">
        <v>0</v>
      </c>
      <c r="DT11">
        <v>584</v>
      </c>
      <c r="DW11">
        <v>0</v>
      </c>
      <c r="DX11">
        <v>0</v>
      </c>
      <c r="EA11">
        <v>27313</v>
      </c>
      <c r="EC11">
        <v>562217</v>
      </c>
      <c r="ED11">
        <v>207520</v>
      </c>
      <c r="EE11">
        <v>613137</v>
      </c>
      <c r="EF11">
        <v>0</v>
      </c>
      <c r="EK11">
        <v>725621</v>
      </c>
      <c r="EU11">
        <v>1914420</v>
      </c>
      <c r="EY11">
        <v>437064</v>
      </c>
      <c r="FA11">
        <v>1212675</v>
      </c>
      <c r="FB11">
        <v>163566</v>
      </c>
    </row>
    <row r="12" spans="1:164" x14ac:dyDescent="0.3">
      <c r="A12" t="s">
        <v>53</v>
      </c>
      <c r="K12">
        <v>0</v>
      </c>
      <c r="L12">
        <v>0</v>
      </c>
      <c r="R12">
        <v>0</v>
      </c>
      <c r="W12">
        <v>405583</v>
      </c>
      <c r="AB12">
        <v>0</v>
      </c>
      <c r="AF12">
        <v>0</v>
      </c>
      <c r="AH12">
        <v>0</v>
      </c>
      <c r="AZ12">
        <v>0</v>
      </c>
      <c r="BA12">
        <v>0</v>
      </c>
      <c r="BG12">
        <v>0</v>
      </c>
      <c r="BL12">
        <v>0</v>
      </c>
      <c r="BQ12">
        <v>0</v>
      </c>
      <c r="BU12">
        <v>0</v>
      </c>
      <c r="BW12">
        <v>0</v>
      </c>
      <c r="CO12">
        <v>0</v>
      </c>
      <c r="CP12">
        <v>0</v>
      </c>
      <c r="CV12">
        <v>3202</v>
      </c>
      <c r="DA12">
        <v>0</v>
      </c>
      <c r="DF12">
        <v>0</v>
      </c>
      <c r="DJ12">
        <v>0</v>
      </c>
      <c r="DL12">
        <v>86168</v>
      </c>
      <c r="ED12">
        <v>6080</v>
      </c>
      <c r="EE12">
        <v>45143</v>
      </c>
      <c r="EK12">
        <v>63797</v>
      </c>
      <c r="EP12">
        <v>0</v>
      </c>
      <c r="EU12">
        <v>155465</v>
      </c>
      <c r="EY12">
        <v>40106</v>
      </c>
      <c r="FA12">
        <v>80438</v>
      </c>
    </row>
    <row r="13" spans="1:164" x14ac:dyDescent="0.3">
      <c r="A13" t="s">
        <v>54</v>
      </c>
      <c r="J13">
        <v>0</v>
      </c>
      <c r="K13">
        <v>0</v>
      </c>
      <c r="L13">
        <v>0</v>
      </c>
      <c r="R13">
        <v>763</v>
      </c>
      <c r="AB13">
        <v>7394</v>
      </c>
      <c r="AH13">
        <v>0</v>
      </c>
      <c r="AI13">
        <v>0</v>
      </c>
      <c r="AY13">
        <v>0</v>
      </c>
      <c r="AZ13">
        <v>0</v>
      </c>
      <c r="BA13">
        <v>0</v>
      </c>
      <c r="BG13">
        <v>0</v>
      </c>
      <c r="BQ13">
        <v>0</v>
      </c>
      <c r="BW13">
        <v>0</v>
      </c>
      <c r="BX13">
        <v>0</v>
      </c>
      <c r="CN13">
        <v>0</v>
      </c>
      <c r="CO13">
        <v>0</v>
      </c>
      <c r="CP13">
        <v>0</v>
      </c>
      <c r="CV13">
        <v>1601</v>
      </c>
      <c r="DF13">
        <v>135342</v>
      </c>
      <c r="DL13">
        <v>0</v>
      </c>
      <c r="DM13">
        <v>0</v>
      </c>
      <c r="EC13">
        <v>4126</v>
      </c>
      <c r="ED13">
        <v>856</v>
      </c>
      <c r="EE13">
        <v>5164</v>
      </c>
      <c r="EK13">
        <v>0</v>
      </c>
      <c r="EU13">
        <v>36678</v>
      </c>
      <c r="FA13">
        <v>8800</v>
      </c>
      <c r="FB13">
        <v>264</v>
      </c>
    </row>
    <row r="14" spans="1:164" x14ac:dyDescent="0.3">
      <c r="A14" t="s">
        <v>55</v>
      </c>
      <c r="H14">
        <v>0</v>
      </c>
      <c r="J14">
        <v>0</v>
      </c>
      <c r="K14">
        <v>0</v>
      </c>
      <c r="L14">
        <v>0</v>
      </c>
      <c r="N14">
        <v>2289140</v>
      </c>
      <c r="R14">
        <v>1180</v>
      </c>
      <c r="AB14">
        <v>0</v>
      </c>
      <c r="AF14">
        <v>0</v>
      </c>
      <c r="AH14">
        <v>0</v>
      </c>
      <c r="AI14">
        <v>0</v>
      </c>
      <c r="AM14">
        <v>0</v>
      </c>
      <c r="AW14">
        <v>0</v>
      </c>
      <c r="AY14">
        <v>0</v>
      </c>
      <c r="AZ14">
        <v>0</v>
      </c>
      <c r="BA14">
        <v>0</v>
      </c>
      <c r="BC14">
        <v>0</v>
      </c>
      <c r="BG14">
        <v>0</v>
      </c>
      <c r="BQ14">
        <v>0</v>
      </c>
      <c r="BU14">
        <v>0</v>
      </c>
      <c r="BW14">
        <v>0</v>
      </c>
      <c r="BX14">
        <v>0</v>
      </c>
      <c r="CB14">
        <v>0</v>
      </c>
      <c r="CL14">
        <v>0</v>
      </c>
      <c r="CN14">
        <v>0</v>
      </c>
      <c r="CO14">
        <v>0</v>
      </c>
      <c r="CP14">
        <v>0</v>
      </c>
      <c r="CR14">
        <v>0</v>
      </c>
      <c r="CV14">
        <v>343750</v>
      </c>
      <c r="DF14">
        <v>61502</v>
      </c>
      <c r="DJ14">
        <v>0</v>
      </c>
      <c r="DL14">
        <v>0</v>
      </c>
      <c r="DM14">
        <v>0</v>
      </c>
      <c r="DQ14">
        <v>0</v>
      </c>
      <c r="EA14">
        <v>292</v>
      </c>
      <c r="EC14">
        <v>31466</v>
      </c>
      <c r="ED14">
        <v>742</v>
      </c>
      <c r="EE14">
        <v>20734</v>
      </c>
      <c r="EG14">
        <v>0</v>
      </c>
      <c r="EK14">
        <v>9002</v>
      </c>
      <c r="EU14">
        <v>67208</v>
      </c>
      <c r="EY14">
        <v>1548</v>
      </c>
      <c r="FA14">
        <v>16544</v>
      </c>
      <c r="FB14">
        <v>0</v>
      </c>
      <c r="FF14">
        <v>0</v>
      </c>
    </row>
    <row r="15" spans="1:164" x14ac:dyDescent="0.3">
      <c r="A15" t="s">
        <v>56</v>
      </c>
      <c r="H15">
        <v>0</v>
      </c>
      <c r="J15">
        <v>0</v>
      </c>
      <c r="K15">
        <v>0</v>
      </c>
      <c r="L15">
        <v>0</v>
      </c>
      <c r="R15">
        <v>4582</v>
      </c>
      <c r="X15">
        <v>628748</v>
      </c>
      <c r="Y15">
        <v>0</v>
      </c>
      <c r="Z15">
        <v>97671</v>
      </c>
      <c r="AB15">
        <v>0</v>
      </c>
      <c r="AF15">
        <v>0</v>
      </c>
      <c r="AH15">
        <v>32</v>
      </c>
      <c r="AI15">
        <v>0</v>
      </c>
      <c r="AM15">
        <v>0</v>
      </c>
      <c r="AP15">
        <v>0</v>
      </c>
      <c r="AW15">
        <v>0</v>
      </c>
      <c r="AY15">
        <v>0</v>
      </c>
      <c r="AZ15">
        <v>0</v>
      </c>
      <c r="BA15">
        <v>0</v>
      </c>
      <c r="BG15">
        <v>0</v>
      </c>
      <c r="BM15">
        <v>1276179</v>
      </c>
      <c r="BN15">
        <v>758456</v>
      </c>
      <c r="BO15">
        <v>0</v>
      </c>
      <c r="BQ15">
        <v>0</v>
      </c>
      <c r="BU15">
        <v>0</v>
      </c>
      <c r="BW15">
        <v>0</v>
      </c>
      <c r="BX15">
        <v>0</v>
      </c>
      <c r="CB15">
        <v>0</v>
      </c>
      <c r="CE15">
        <v>0</v>
      </c>
      <c r="CL15">
        <v>0</v>
      </c>
      <c r="CN15">
        <v>0</v>
      </c>
      <c r="CO15">
        <v>0</v>
      </c>
      <c r="CP15">
        <v>0</v>
      </c>
      <c r="CV15">
        <v>13776</v>
      </c>
      <c r="DB15">
        <v>0</v>
      </c>
      <c r="DC15">
        <v>0</v>
      </c>
      <c r="DD15">
        <v>0</v>
      </c>
      <c r="DF15">
        <v>3570</v>
      </c>
      <c r="DJ15">
        <v>0</v>
      </c>
      <c r="DL15">
        <v>576215</v>
      </c>
      <c r="DM15">
        <v>0</v>
      </c>
      <c r="DQ15">
        <v>0</v>
      </c>
      <c r="DT15">
        <v>0</v>
      </c>
      <c r="EA15">
        <v>459</v>
      </c>
      <c r="EC15">
        <v>11457</v>
      </c>
      <c r="ED15">
        <v>2054</v>
      </c>
      <c r="EE15">
        <v>10994</v>
      </c>
      <c r="EK15">
        <v>10386</v>
      </c>
      <c r="EQ15">
        <v>0</v>
      </c>
      <c r="ER15">
        <v>0</v>
      </c>
      <c r="ES15">
        <v>0</v>
      </c>
      <c r="EU15">
        <v>66898</v>
      </c>
      <c r="EY15">
        <v>8614</v>
      </c>
      <c r="FA15">
        <v>18430</v>
      </c>
      <c r="FB15">
        <v>0</v>
      </c>
      <c r="FF15">
        <v>0</v>
      </c>
    </row>
    <row r="16" spans="1:164" x14ac:dyDescent="0.3">
      <c r="A16" t="s">
        <v>57</v>
      </c>
      <c r="D16">
        <v>0</v>
      </c>
      <c r="F16">
        <v>0</v>
      </c>
      <c r="H16">
        <v>0</v>
      </c>
      <c r="J16">
        <v>0</v>
      </c>
      <c r="K16">
        <v>0</v>
      </c>
      <c r="L16">
        <v>0</v>
      </c>
      <c r="O16">
        <v>155890</v>
      </c>
      <c r="R16">
        <v>3632</v>
      </c>
      <c r="AA16">
        <v>223835</v>
      </c>
      <c r="AB16">
        <v>0</v>
      </c>
      <c r="AF16">
        <v>0</v>
      </c>
      <c r="AG16">
        <v>1526110</v>
      </c>
      <c r="AH16">
        <v>0</v>
      </c>
      <c r="AI16">
        <v>0</v>
      </c>
      <c r="AM16">
        <v>0</v>
      </c>
      <c r="AP16">
        <v>0</v>
      </c>
      <c r="AS16">
        <v>0</v>
      </c>
      <c r="AU16">
        <v>0</v>
      </c>
      <c r="AW16">
        <v>0</v>
      </c>
      <c r="AY16">
        <v>0</v>
      </c>
      <c r="AZ16">
        <v>0</v>
      </c>
      <c r="BA16">
        <v>0</v>
      </c>
      <c r="BD16">
        <v>0</v>
      </c>
      <c r="BG16">
        <v>0</v>
      </c>
      <c r="BP16">
        <v>0</v>
      </c>
      <c r="BQ16">
        <v>0</v>
      </c>
      <c r="BU16">
        <v>0</v>
      </c>
      <c r="BV16">
        <v>0</v>
      </c>
      <c r="BW16">
        <v>0</v>
      </c>
      <c r="BX16">
        <v>0</v>
      </c>
      <c r="CB16">
        <v>0</v>
      </c>
      <c r="CE16">
        <v>0</v>
      </c>
      <c r="CH16">
        <v>188322</v>
      </c>
      <c r="CJ16">
        <v>0</v>
      </c>
      <c r="CL16">
        <v>0</v>
      </c>
      <c r="CN16">
        <v>0</v>
      </c>
      <c r="CO16">
        <v>0</v>
      </c>
      <c r="CP16">
        <v>0</v>
      </c>
      <c r="CS16">
        <v>0</v>
      </c>
      <c r="CV16">
        <v>24914</v>
      </c>
      <c r="DE16">
        <v>0</v>
      </c>
      <c r="DF16">
        <v>155973</v>
      </c>
      <c r="DJ16">
        <v>0</v>
      </c>
      <c r="DK16">
        <v>0</v>
      </c>
      <c r="DL16">
        <v>0</v>
      </c>
      <c r="DM16">
        <v>0</v>
      </c>
      <c r="DQ16">
        <v>0</v>
      </c>
      <c r="DT16">
        <v>0</v>
      </c>
      <c r="DW16">
        <v>0</v>
      </c>
      <c r="DY16">
        <v>0</v>
      </c>
      <c r="EA16">
        <v>58</v>
      </c>
      <c r="EC16">
        <v>126</v>
      </c>
      <c r="ED16">
        <v>0</v>
      </c>
      <c r="EE16">
        <v>374</v>
      </c>
      <c r="EH16">
        <v>0</v>
      </c>
      <c r="EK16">
        <v>816</v>
      </c>
      <c r="ET16">
        <v>0</v>
      </c>
      <c r="EU16">
        <v>124542</v>
      </c>
      <c r="EY16">
        <v>624</v>
      </c>
      <c r="EZ16">
        <v>0</v>
      </c>
      <c r="FA16">
        <v>12490</v>
      </c>
      <c r="FB16">
        <v>772</v>
      </c>
      <c r="FF16">
        <v>0</v>
      </c>
    </row>
    <row r="17" spans="1:164" x14ac:dyDescent="0.3">
      <c r="A17" t="s">
        <v>58</v>
      </c>
      <c r="J17">
        <v>0</v>
      </c>
      <c r="K17">
        <v>0</v>
      </c>
      <c r="L17">
        <v>0</v>
      </c>
      <c r="R17">
        <v>4372</v>
      </c>
      <c r="AB17">
        <v>1515782</v>
      </c>
      <c r="AC17">
        <v>69424</v>
      </c>
      <c r="AF17">
        <v>0</v>
      </c>
      <c r="AH17">
        <v>0</v>
      </c>
      <c r="AY17">
        <v>0</v>
      </c>
      <c r="AZ17">
        <v>0</v>
      </c>
      <c r="BA17">
        <v>0</v>
      </c>
      <c r="BG17">
        <v>0</v>
      </c>
      <c r="BQ17">
        <v>0</v>
      </c>
      <c r="BR17">
        <v>0</v>
      </c>
      <c r="BU17">
        <v>0</v>
      </c>
      <c r="BW17">
        <v>0</v>
      </c>
      <c r="CN17">
        <v>0</v>
      </c>
      <c r="CO17">
        <v>0</v>
      </c>
      <c r="CP17">
        <v>0</v>
      </c>
      <c r="CV17">
        <v>14622</v>
      </c>
      <c r="DF17">
        <v>73797</v>
      </c>
      <c r="DG17">
        <v>0</v>
      </c>
      <c r="DJ17">
        <v>0</v>
      </c>
      <c r="DL17">
        <v>0</v>
      </c>
      <c r="EC17">
        <v>38286</v>
      </c>
      <c r="ED17">
        <v>14770</v>
      </c>
      <c r="EE17">
        <v>130436</v>
      </c>
      <c r="EK17">
        <v>136898</v>
      </c>
      <c r="EU17">
        <v>1008289</v>
      </c>
      <c r="EV17">
        <v>0</v>
      </c>
      <c r="EY17">
        <v>56562</v>
      </c>
      <c r="FA17">
        <v>228708</v>
      </c>
    </row>
    <row r="18" spans="1:164" x14ac:dyDescent="0.3">
      <c r="A18" t="s">
        <v>59</v>
      </c>
      <c r="J18">
        <v>0</v>
      </c>
      <c r="K18">
        <v>0</v>
      </c>
      <c r="L18">
        <v>0</v>
      </c>
      <c r="R18">
        <v>1369</v>
      </c>
      <c r="AB18">
        <v>0</v>
      </c>
      <c r="AD18">
        <v>253984</v>
      </c>
      <c r="AE18">
        <v>0</v>
      </c>
      <c r="AF18">
        <v>0</v>
      </c>
      <c r="AH18">
        <v>0</v>
      </c>
      <c r="AY18">
        <v>0</v>
      </c>
      <c r="AZ18">
        <v>0</v>
      </c>
      <c r="BA18">
        <v>0</v>
      </c>
      <c r="BG18">
        <v>0</v>
      </c>
      <c r="BQ18">
        <v>0</v>
      </c>
      <c r="BS18">
        <v>0</v>
      </c>
      <c r="BT18">
        <v>0</v>
      </c>
      <c r="BU18">
        <v>0</v>
      </c>
      <c r="BW18">
        <v>0</v>
      </c>
      <c r="CN18">
        <v>0</v>
      </c>
      <c r="CO18">
        <v>0</v>
      </c>
      <c r="CP18">
        <v>0</v>
      </c>
      <c r="CV18">
        <v>3875</v>
      </c>
      <c r="DF18">
        <v>266160</v>
      </c>
      <c r="DH18">
        <v>0</v>
      </c>
      <c r="DI18">
        <v>0</v>
      </c>
      <c r="DJ18">
        <v>0</v>
      </c>
      <c r="DL18">
        <v>0</v>
      </c>
      <c r="EC18">
        <v>14842</v>
      </c>
      <c r="ED18">
        <v>4148</v>
      </c>
      <c r="EE18">
        <v>41078</v>
      </c>
      <c r="EK18">
        <v>27174</v>
      </c>
      <c r="EU18">
        <v>351010</v>
      </c>
      <c r="EW18">
        <v>0</v>
      </c>
      <c r="EX18">
        <v>172</v>
      </c>
      <c r="EY18">
        <v>68072</v>
      </c>
      <c r="FA18">
        <v>76686</v>
      </c>
    </row>
    <row r="19" spans="1:164" x14ac:dyDescent="0.3">
      <c r="A19" t="s">
        <v>60</v>
      </c>
      <c r="J19">
        <v>0</v>
      </c>
      <c r="K19">
        <v>0</v>
      </c>
      <c r="L19">
        <v>0</v>
      </c>
      <c r="R19">
        <v>801</v>
      </c>
      <c r="AB19">
        <v>9062</v>
      </c>
      <c r="AH19">
        <v>0</v>
      </c>
      <c r="AI19">
        <v>0</v>
      </c>
      <c r="AY19">
        <v>0</v>
      </c>
      <c r="AZ19">
        <v>0</v>
      </c>
      <c r="BA19">
        <v>0</v>
      </c>
      <c r="BG19">
        <v>0</v>
      </c>
      <c r="BQ19">
        <v>0</v>
      </c>
      <c r="BW19">
        <v>0</v>
      </c>
      <c r="BX19">
        <v>0</v>
      </c>
      <c r="CN19">
        <v>0</v>
      </c>
      <c r="CO19">
        <v>0</v>
      </c>
      <c r="CP19">
        <v>0</v>
      </c>
      <c r="CV19">
        <v>1751</v>
      </c>
      <c r="DF19">
        <v>146892</v>
      </c>
      <c r="DL19">
        <v>0</v>
      </c>
      <c r="DM19">
        <v>0</v>
      </c>
      <c r="EC19">
        <v>5480</v>
      </c>
      <c r="ED19">
        <v>1192</v>
      </c>
      <c r="EE19">
        <v>10136</v>
      </c>
      <c r="EK19">
        <v>0</v>
      </c>
      <c r="EU19">
        <v>38098</v>
      </c>
      <c r="FA19">
        <v>7094</v>
      </c>
      <c r="FB19">
        <v>420</v>
      </c>
    </row>
    <row r="20" spans="1:164" x14ac:dyDescent="0.3">
      <c r="A20" t="s">
        <v>61</v>
      </c>
      <c r="H20">
        <v>0</v>
      </c>
      <c r="J20">
        <v>0</v>
      </c>
      <c r="K20">
        <v>0</v>
      </c>
      <c r="L20">
        <v>0</v>
      </c>
      <c r="P20">
        <v>0</v>
      </c>
      <c r="R20">
        <v>0</v>
      </c>
      <c r="AB20">
        <v>0</v>
      </c>
      <c r="AE20">
        <v>0</v>
      </c>
      <c r="AF20">
        <v>0</v>
      </c>
      <c r="AH20">
        <v>0</v>
      </c>
      <c r="AI20">
        <v>0</v>
      </c>
      <c r="AJ20">
        <v>0</v>
      </c>
      <c r="AM20">
        <v>0</v>
      </c>
      <c r="AN20">
        <v>136276</v>
      </c>
      <c r="AO20">
        <v>258872</v>
      </c>
      <c r="AP20">
        <v>0</v>
      </c>
      <c r="AW20">
        <v>0</v>
      </c>
      <c r="AY20">
        <v>0</v>
      </c>
      <c r="AZ20">
        <v>0</v>
      </c>
      <c r="BA20">
        <v>0</v>
      </c>
      <c r="BE20">
        <v>0</v>
      </c>
      <c r="BG20">
        <v>0</v>
      </c>
      <c r="BQ20">
        <v>0</v>
      </c>
      <c r="BT20">
        <v>0</v>
      </c>
      <c r="BU20">
        <v>0</v>
      </c>
      <c r="BW20">
        <v>0</v>
      </c>
      <c r="BX20">
        <v>0</v>
      </c>
      <c r="BY20">
        <v>0</v>
      </c>
      <c r="CB20">
        <v>0</v>
      </c>
      <c r="CC20">
        <v>0</v>
      </c>
      <c r="CD20">
        <v>0</v>
      </c>
      <c r="CE20">
        <v>0</v>
      </c>
      <c r="CL20">
        <v>0</v>
      </c>
      <c r="CN20">
        <v>0</v>
      </c>
      <c r="CO20">
        <v>0</v>
      </c>
      <c r="CP20">
        <v>0</v>
      </c>
      <c r="CT20">
        <v>0</v>
      </c>
      <c r="CV20">
        <v>0</v>
      </c>
      <c r="DF20">
        <v>0</v>
      </c>
      <c r="DI20">
        <v>0</v>
      </c>
      <c r="DJ20">
        <v>0</v>
      </c>
      <c r="DL20">
        <v>0</v>
      </c>
      <c r="DM20">
        <v>0</v>
      </c>
      <c r="DN20">
        <v>0</v>
      </c>
      <c r="DQ20">
        <v>0</v>
      </c>
      <c r="DR20">
        <v>0</v>
      </c>
      <c r="DS20">
        <v>146638</v>
      </c>
      <c r="DT20">
        <v>1462</v>
      </c>
      <c r="EA20">
        <v>3996</v>
      </c>
      <c r="EC20">
        <v>7962</v>
      </c>
      <c r="ED20">
        <v>696</v>
      </c>
      <c r="EE20">
        <v>3544</v>
      </c>
      <c r="EI20">
        <v>0</v>
      </c>
      <c r="EK20">
        <v>5028</v>
      </c>
      <c r="EU20">
        <v>2452</v>
      </c>
      <c r="EX20">
        <v>16</v>
      </c>
      <c r="EY20">
        <v>17500</v>
      </c>
      <c r="FA20">
        <v>6796</v>
      </c>
      <c r="FB20">
        <v>286</v>
      </c>
      <c r="FC20">
        <v>0</v>
      </c>
      <c r="FF20">
        <v>45476</v>
      </c>
      <c r="FG20">
        <v>0</v>
      </c>
      <c r="FH20">
        <v>0</v>
      </c>
    </row>
    <row r="21" spans="1:164" x14ac:dyDescent="0.3">
      <c r="A21" t="s">
        <v>62</v>
      </c>
      <c r="C21">
        <v>34926</v>
      </c>
      <c r="D21">
        <v>0</v>
      </c>
      <c r="L21">
        <v>0</v>
      </c>
      <c r="R21">
        <v>1924</v>
      </c>
      <c r="AB21">
        <v>0</v>
      </c>
      <c r="AR21">
        <v>0</v>
      </c>
      <c r="AS21">
        <v>0</v>
      </c>
      <c r="BA21">
        <v>0</v>
      </c>
      <c r="BG21">
        <v>0</v>
      </c>
      <c r="BQ21">
        <v>0</v>
      </c>
      <c r="CG21">
        <v>0</v>
      </c>
      <c r="CH21">
        <v>886232</v>
      </c>
      <c r="CP21">
        <v>0</v>
      </c>
      <c r="CV21">
        <v>12162</v>
      </c>
      <c r="DF21">
        <v>0</v>
      </c>
      <c r="DV21">
        <v>0</v>
      </c>
      <c r="DW21">
        <v>0</v>
      </c>
      <c r="EE21">
        <v>388</v>
      </c>
      <c r="EK21">
        <v>0</v>
      </c>
      <c r="EU21">
        <v>4052</v>
      </c>
    </row>
    <row r="22" spans="1:164" x14ac:dyDescent="0.3">
      <c r="A22" t="s">
        <v>63</v>
      </c>
      <c r="J22">
        <v>0</v>
      </c>
      <c r="K22">
        <v>0</v>
      </c>
      <c r="L22">
        <v>0</v>
      </c>
      <c r="R22">
        <v>0</v>
      </c>
      <c r="AB22">
        <v>0</v>
      </c>
      <c r="AF22">
        <v>0</v>
      </c>
      <c r="AH22">
        <v>0</v>
      </c>
      <c r="AI22">
        <v>0</v>
      </c>
      <c r="AJ22">
        <v>1514976</v>
      </c>
      <c r="AY22">
        <v>0</v>
      </c>
      <c r="AZ22">
        <v>0</v>
      </c>
      <c r="BA22">
        <v>0</v>
      </c>
      <c r="BG22">
        <v>0</v>
      </c>
      <c r="BQ22">
        <v>0</v>
      </c>
      <c r="BU22">
        <v>0</v>
      </c>
      <c r="BW22">
        <v>0</v>
      </c>
      <c r="BX22">
        <v>0</v>
      </c>
      <c r="BY22">
        <v>0</v>
      </c>
      <c r="CN22">
        <v>0</v>
      </c>
      <c r="CO22">
        <v>0</v>
      </c>
      <c r="CP22">
        <v>0</v>
      </c>
      <c r="CV22">
        <v>0</v>
      </c>
      <c r="DF22">
        <v>0</v>
      </c>
      <c r="DJ22">
        <v>0</v>
      </c>
      <c r="DL22">
        <v>0</v>
      </c>
      <c r="DM22">
        <v>0</v>
      </c>
      <c r="DN22">
        <v>0</v>
      </c>
      <c r="EC22">
        <v>194882</v>
      </c>
      <c r="ED22">
        <v>4960</v>
      </c>
      <c r="EE22">
        <v>267116</v>
      </c>
      <c r="EK22">
        <v>328454</v>
      </c>
      <c r="EU22">
        <v>786290</v>
      </c>
      <c r="EY22">
        <v>341290</v>
      </c>
      <c r="FA22">
        <v>653174</v>
      </c>
      <c r="FB22">
        <v>786560</v>
      </c>
      <c r="FC22">
        <v>0</v>
      </c>
    </row>
    <row r="23" spans="1:164" x14ac:dyDescent="0.3">
      <c r="A23" t="s">
        <v>64</v>
      </c>
      <c r="F23">
        <v>0</v>
      </c>
      <c r="H23">
        <v>0</v>
      </c>
      <c r="J23">
        <v>0</v>
      </c>
      <c r="K23">
        <v>0</v>
      </c>
      <c r="L23">
        <v>0</v>
      </c>
      <c r="R23">
        <v>2577</v>
      </c>
      <c r="V23">
        <v>720019</v>
      </c>
      <c r="AB23">
        <v>0</v>
      </c>
      <c r="AF23">
        <v>0</v>
      </c>
      <c r="AH23">
        <v>0</v>
      </c>
      <c r="AI23">
        <v>0</v>
      </c>
      <c r="AM23">
        <v>0</v>
      </c>
      <c r="AP23">
        <v>0</v>
      </c>
      <c r="AU23">
        <v>0</v>
      </c>
      <c r="AW23">
        <v>0</v>
      </c>
      <c r="AY23">
        <v>0</v>
      </c>
      <c r="AZ23">
        <v>0</v>
      </c>
      <c r="BA23">
        <v>0</v>
      </c>
      <c r="BG23">
        <v>0</v>
      </c>
      <c r="BK23">
        <v>0</v>
      </c>
      <c r="BQ23">
        <v>0</v>
      </c>
      <c r="BU23">
        <v>0</v>
      </c>
      <c r="BW23">
        <v>0</v>
      </c>
      <c r="BX23">
        <v>0</v>
      </c>
      <c r="CB23">
        <v>0</v>
      </c>
      <c r="CE23">
        <v>0</v>
      </c>
      <c r="CJ23">
        <v>0</v>
      </c>
      <c r="CL23">
        <v>0</v>
      </c>
      <c r="CN23">
        <v>0</v>
      </c>
      <c r="CO23">
        <v>0</v>
      </c>
      <c r="CP23">
        <v>0</v>
      </c>
      <c r="CV23">
        <v>1430891</v>
      </c>
      <c r="CZ23">
        <v>0</v>
      </c>
      <c r="DF23">
        <v>0</v>
      </c>
      <c r="DJ23">
        <v>0</v>
      </c>
      <c r="DL23">
        <v>0</v>
      </c>
      <c r="DM23">
        <v>0</v>
      </c>
      <c r="DQ23">
        <v>0</v>
      </c>
      <c r="DT23">
        <v>270</v>
      </c>
      <c r="DY23">
        <v>24</v>
      </c>
      <c r="EA23">
        <v>7782</v>
      </c>
      <c r="EC23">
        <v>348040</v>
      </c>
      <c r="ED23">
        <v>9580</v>
      </c>
      <c r="EE23">
        <v>259008</v>
      </c>
      <c r="EK23">
        <v>59883</v>
      </c>
      <c r="EO23">
        <v>0</v>
      </c>
      <c r="EU23">
        <v>398026</v>
      </c>
      <c r="EY23">
        <v>33766</v>
      </c>
      <c r="FA23">
        <v>608446</v>
      </c>
      <c r="FB23">
        <v>0</v>
      </c>
      <c r="FF23">
        <v>0</v>
      </c>
    </row>
    <row r="24" spans="1:164" x14ac:dyDescent="0.3">
      <c r="A24" t="s">
        <v>65</v>
      </c>
      <c r="H24">
        <v>0</v>
      </c>
      <c r="J24">
        <v>0</v>
      </c>
      <c r="K24">
        <v>0</v>
      </c>
      <c r="L24">
        <v>0</v>
      </c>
      <c r="R24">
        <v>0</v>
      </c>
      <c r="AB24">
        <v>0</v>
      </c>
      <c r="AE24">
        <v>0</v>
      </c>
      <c r="AF24">
        <v>0</v>
      </c>
      <c r="AH24">
        <v>0</v>
      </c>
      <c r="AI24">
        <v>0</v>
      </c>
      <c r="AK24">
        <v>0</v>
      </c>
      <c r="AL24">
        <v>96484</v>
      </c>
      <c r="AM24">
        <v>0</v>
      </c>
      <c r="AP24">
        <v>0</v>
      </c>
      <c r="AW24">
        <v>0</v>
      </c>
      <c r="AY24">
        <v>0</v>
      </c>
      <c r="AZ24">
        <v>0</v>
      </c>
      <c r="BA24">
        <v>0</v>
      </c>
      <c r="BG24">
        <v>0</v>
      </c>
      <c r="BQ24">
        <v>0</v>
      </c>
      <c r="BT24">
        <v>0</v>
      </c>
      <c r="BU24">
        <v>0</v>
      </c>
      <c r="BW24">
        <v>0</v>
      </c>
      <c r="BX24">
        <v>0</v>
      </c>
      <c r="BZ24">
        <v>319364</v>
      </c>
      <c r="CA24">
        <v>0</v>
      </c>
      <c r="CB24">
        <v>0</v>
      </c>
      <c r="CE24">
        <v>0</v>
      </c>
      <c r="CL24">
        <v>0</v>
      </c>
      <c r="CN24">
        <v>0</v>
      </c>
      <c r="CO24">
        <v>0</v>
      </c>
      <c r="CP24">
        <v>0</v>
      </c>
      <c r="CV24">
        <v>4534</v>
      </c>
      <c r="DF24">
        <v>199276</v>
      </c>
      <c r="DI24">
        <v>0</v>
      </c>
      <c r="DJ24">
        <v>0</v>
      </c>
      <c r="DL24">
        <v>0</v>
      </c>
      <c r="DM24">
        <v>0</v>
      </c>
      <c r="DO24">
        <v>0</v>
      </c>
      <c r="DP24">
        <v>0</v>
      </c>
      <c r="DQ24">
        <v>0</v>
      </c>
      <c r="DT24">
        <v>0</v>
      </c>
      <c r="EA24">
        <v>0</v>
      </c>
      <c r="EC24">
        <v>0</v>
      </c>
      <c r="ED24">
        <v>0</v>
      </c>
      <c r="EE24">
        <v>0</v>
      </c>
      <c r="EK24">
        <v>0</v>
      </c>
      <c r="EU24">
        <v>0</v>
      </c>
      <c r="EX24">
        <v>0</v>
      </c>
      <c r="EY24">
        <v>0</v>
      </c>
      <c r="FA24">
        <v>0</v>
      </c>
      <c r="FB24">
        <v>0</v>
      </c>
      <c r="FD24">
        <v>0</v>
      </c>
      <c r="FE24">
        <v>0</v>
      </c>
      <c r="FF2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CA75-FE95-4727-B804-023D9B5CEB22}">
  <dimension ref="A1:E24"/>
  <sheetViews>
    <sheetView workbookViewId="0">
      <selection activeCell="A2" sqref="A2"/>
    </sheetView>
  </sheetViews>
  <sheetFormatPr defaultRowHeight="14.4" x14ac:dyDescent="0.3"/>
  <sheetData>
    <row r="1" spans="1:5" x14ac:dyDescent="0.3">
      <c r="A1" t="s">
        <v>255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 t="s">
        <v>44</v>
      </c>
      <c r="B2">
        <v>1521264</v>
      </c>
      <c r="C2">
        <v>0</v>
      </c>
      <c r="D2">
        <v>184166</v>
      </c>
      <c r="E2">
        <v>1405416</v>
      </c>
    </row>
    <row r="3" spans="1:5" x14ac:dyDescent="0.3">
      <c r="A3" t="s">
        <v>45</v>
      </c>
      <c r="B3">
        <v>7509</v>
      </c>
      <c r="C3">
        <v>748098</v>
      </c>
      <c r="D3">
        <v>160001</v>
      </c>
      <c r="E3">
        <v>6300</v>
      </c>
    </row>
    <row r="4" spans="1:5" x14ac:dyDescent="0.3">
      <c r="A4" t="s">
        <v>46</v>
      </c>
      <c r="B4">
        <v>8976</v>
      </c>
      <c r="C4">
        <v>0</v>
      </c>
      <c r="D4">
        <v>140426</v>
      </c>
      <c r="E4">
        <v>11970</v>
      </c>
    </row>
    <row r="5" spans="1:5" x14ac:dyDescent="0.3">
      <c r="A5" t="s">
        <v>47</v>
      </c>
      <c r="B5">
        <v>1024574</v>
      </c>
      <c r="C5">
        <v>0</v>
      </c>
      <c r="D5">
        <v>227528</v>
      </c>
      <c r="E5">
        <v>833194</v>
      </c>
    </row>
    <row r="6" spans="1:5" x14ac:dyDescent="0.3">
      <c r="A6" t="s">
        <v>48</v>
      </c>
      <c r="B6">
        <v>161780</v>
      </c>
      <c r="C6">
        <v>0</v>
      </c>
      <c r="D6">
        <v>83880</v>
      </c>
      <c r="E6">
        <v>295578</v>
      </c>
    </row>
    <row r="7" spans="1:5" x14ac:dyDescent="0.3">
      <c r="A7" t="s">
        <v>49</v>
      </c>
      <c r="B7">
        <v>499097</v>
      </c>
      <c r="C7">
        <v>0</v>
      </c>
      <c r="D7">
        <v>11701</v>
      </c>
      <c r="E7">
        <v>271312</v>
      </c>
    </row>
    <row r="8" spans="1:5" x14ac:dyDescent="0.3">
      <c r="A8" t="s">
        <v>50</v>
      </c>
      <c r="B8">
        <v>534209</v>
      </c>
      <c r="C8">
        <v>2486104</v>
      </c>
      <c r="D8">
        <v>825846</v>
      </c>
      <c r="E8">
        <v>1059835</v>
      </c>
    </row>
    <row r="9" spans="1:5" x14ac:dyDescent="0.3">
      <c r="A9" t="s">
        <v>51</v>
      </c>
      <c r="B9">
        <v>2233</v>
      </c>
      <c r="C9">
        <v>0</v>
      </c>
      <c r="D9">
        <v>38555</v>
      </c>
      <c r="E9">
        <v>1451730</v>
      </c>
    </row>
    <row r="10" spans="1:5" x14ac:dyDescent="0.3">
      <c r="A10" t="s">
        <v>52</v>
      </c>
      <c r="B10">
        <v>5665963</v>
      </c>
      <c r="C10">
        <v>0</v>
      </c>
      <c r="D10">
        <v>210060</v>
      </c>
      <c r="E10">
        <v>5864117</v>
      </c>
    </row>
    <row r="11" spans="1:5" x14ac:dyDescent="0.3">
      <c r="A11" t="s">
        <v>53</v>
      </c>
      <c r="B11">
        <v>405583</v>
      </c>
      <c r="C11">
        <v>0</v>
      </c>
      <c r="D11">
        <v>89370</v>
      </c>
      <c r="E11">
        <v>391029</v>
      </c>
    </row>
    <row r="12" spans="1:5" x14ac:dyDescent="0.3">
      <c r="A12" t="s">
        <v>54</v>
      </c>
      <c r="B12">
        <v>8157</v>
      </c>
      <c r="C12">
        <v>0</v>
      </c>
      <c r="D12">
        <v>136943</v>
      </c>
      <c r="E12">
        <v>55888</v>
      </c>
    </row>
    <row r="13" spans="1:5" x14ac:dyDescent="0.3">
      <c r="A13" t="s">
        <v>55</v>
      </c>
      <c r="B13">
        <v>2290320</v>
      </c>
      <c r="C13">
        <v>0</v>
      </c>
      <c r="D13">
        <v>405252</v>
      </c>
      <c r="E13">
        <v>147536</v>
      </c>
    </row>
    <row r="14" spans="1:5" x14ac:dyDescent="0.3">
      <c r="A14" t="s">
        <v>56</v>
      </c>
      <c r="B14">
        <v>731033</v>
      </c>
      <c r="C14">
        <v>2034635</v>
      </c>
      <c r="D14">
        <v>593561</v>
      </c>
      <c r="E14">
        <v>129292</v>
      </c>
    </row>
    <row r="15" spans="1:5" x14ac:dyDescent="0.3">
      <c r="A15" t="s">
        <v>57</v>
      </c>
      <c r="B15">
        <v>1909467</v>
      </c>
      <c r="C15">
        <v>0</v>
      </c>
      <c r="D15">
        <v>369209</v>
      </c>
      <c r="E15">
        <v>139802</v>
      </c>
    </row>
    <row r="16" spans="1:5" x14ac:dyDescent="0.3">
      <c r="A16" t="s">
        <v>58</v>
      </c>
      <c r="B16">
        <v>1589578</v>
      </c>
      <c r="C16">
        <v>0</v>
      </c>
      <c r="D16">
        <v>88419</v>
      </c>
      <c r="E16">
        <v>1613949</v>
      </c>
    </row>
    <row r="17" spans="1:5" x14ac:dyDescent="0.3">
      <c r="A17" t="s">
        <v>59</v>
      </c>
      <c r="B17">
        <v>255353</v>
      </c>
      <c r="C17">
        <v>0</v>
      </c>
      <c r="D17">
        <v>270035</v>
      </c>
      <c r="E17">
        <v>583182</v>
      </c>
    </row>
    <row r="18" spans="1:5" x14ac:dyDescent="0.3">
      <c r="A18" t="s">
        <v>60</v>
      </c>
      <c r="B18">
        <v>9863</v>
      </c>
      <c r="C18">
        <v>0</v>
      </c>
      <c r="D18">
        <v>148643</v>
      </c>
      <c r="E18">
        <v>62420</v>
      </c>
    </row>
    <row r="19" spans="1:5" x14ac:dyDescent="0.3">
      <c r="A19" t="s">
        <v>61</v>
      </c>
      <c r="B19">
        <v>395148</v>
      </c>
      <c r="C19">
        <v>0</v>
      </c>
      <c r="D19">
        <v>146638</v>
      </c>
      <c r="E19">
        <v>95214</v>
      </c>
    </row>
    <row r="20" spans="1:5" x14ac:dyDescent="0.3">
      <c r="A20" t="s">
        <v>62</v>
      </c>
      <c r="B20">
        <v>36850</v>
      </c>
      <c r="C20">
        <v>0</v>
      </c>
      <c r="D20">
        <v>898394</v>
      </c>
      <c r="E20">
        <v>4440</v>
      </c>
    </row>
    <row r="21" spans="1:5" x14ac:dyDescent="0.3">
      <c r="A21" t="s">
        <v>63</v>
      </c>
      <c r="B21">
        <v>1514976</v>
      </c>
      <c r="C21">
        <v>0</v>
      </c>
      <c r="D21">
        <v>0</v>
      </c>
      <c r="E21">
        <v>3362726</v>
      </c>
    </row>
    <row r="22" spans="1:5" x14ac:dyDescent="0.3">
      <c r="A22" t="s">
        <v>64</v>
      </c>
      <c r="B22">
        <v>722596</v>
      </c>
      <c r="C22">
        <v>0</v>
      </c>
      <c r="D22">
        <v>1430891</v>
      </c>
      <c r="E22">
        <v>1724825</v>
      </c>
    </row>
    <row r="23" spans="1:5" x14ac:dyDescent="0.3">
      <c r="A23" t="s">
        <v>65</v>
      </c>
      <c r="B23">
        <v>96484</v>
      </c>
      <c r="C23">
        <v>319364</v>
      </c>
      <c r="D23">
        <v>203810</v>
      </c>
      <c r="E23">
        <v>0</v>
      </c>
    </row>
    <row r="24" spans="1:5" x14ac:dyDescent="0.3">
      <c r="A24" t="s">
        <v>66</v>
      </c>
      <c r="B24">
        <v>19391013</v>
      </c>
      <c r="C24">
        <v>5588201</v>
      </c>
      <c r="D24">
        <v>6663328</v>
      </c>
      <c r="E24">
        <v>19509755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F8508-FD80-4936-8937-B1459F8CEB22}">
  <dimension ref="A1:L41"/>
  <sheetViews>
    <sheetView tabSelected="1" workbookViewId="0"/>
  </sheetViews>
  <sheetFormatPr defaultRowHeight="16.2" x14ac:dyDescent="0.35"/>
  <cols>
    <col min="1" max="1" width="34.6640625" style="1" bestFit="1" customWidth="1"/>
    <col min="2" max="2" width="8.109375" style="1" bestFit="1" customWidth="1"/>
    <col min="3" max="3" width="28.77734375" style="1" bestFit="1" customWidth="1"/>
    <col min="4" max="4" width="7.21875" style="1" bestFit="1" customWidth="1"/>
    <col min="5" max="5" width="11.5546875" style="1" bestFit="1" customWidth="1"/>
    <col min="6" max="6" width="24" style="1" bestFit="1" customWidth="1"/>
    <col min="7" max="7" width="11.109375" style="1" bestFit="1" customWidth="1"/>
    <col min="8" max="8" width="28.88671875" style="1" bestFit="1" customWidth="1"/>
    <col min="9" max="16384" width="8.88671875" style="1"/>
  </cols>
  <sheetData>
    <row r="1" spans="1:12" x14ac:dyDescent="0.35">
      <c r="A1" s="1" t="s">
        <v>254</v>
      </c>
      <c r="B1" s="1" t="s">
        <v>175</v>
      </c>
      <c r="C1" s="1" t="s">
        <v>174</v>
      </c>
      <c r="D1" s="1" t="s">
        <v>173</v>
      </c>
      <c r="E1" s="1" t="s">
        <v>172</v>
      </c>
      <c r="F1" s="1" t="s">
        <v>171</v>
      </c>
      <c r="G1" s="1" t="s">
        <v>170</v>
      </c>
      <c r="H1" s="5" t="s">
        <v>252</v>
      </c>
      <c r="I1" s="5" t="s">
        <v>253</v>
      </c>
    </row>
    <row r="2" spans="1:12" ht="16.8" x14ac:dyDescent="0.4">
      <c r="A2" s="2" t="s">
        <v>4</v>
      </c>
      <c r="B2" s="1" t="str">
        <f t="shared" ref="B2:B41" si="0">LEFT(A2,4)</f>
        <v>AE01</v>
      </c>
      <c r="C2" s="1" t="s">
        <v>169</v>
      </c>
      <c r="D2" s="1">
        <v>17041</v>
      </c>
      <c r="F2" s="1" t="s">
        <v>168</v>
      </c>
      <c r="G2" s="1" t="s">
        <v>167</v>
      </c>
      <c r="H2" s="3" t="s">
        <v>176</v>
      </c>
      <c r="I2" s="3" t="s">
        <v>177</v>
      </c>
      <c r="K2" s="1" t="str">
        <f>MID(H2,11,30)</f>
        <v/>
      </c>
      <c r="L2" s="1" t="str">
        <f>MID(I2,13,30)</f>
        <v/>
      </c>
    </row>
    <row r="3" spans="1:12" ht="16.8" x14ac:dyDescent="0.4">
      <c r="A3" s="2" t="s">
        <v>5</v>
      </c>
      <c r="B3" s="1" t="str">
        <f t="shared" si="0"/>
        <v>CH01</v>
      </c>
      <c r="C3" s="1" t="s">
        <v>166</v>
      </c>
      <c r="E3" s="1">
        <v>8180</v>
      </c>
      <c r="F3" s="1" t="s">
        <v>165</v>
      </c>
      <c r="G3" s="1" t="s">
        <v>164</v>
      </c>
      <c r="H3" s="3" t="s">
        <v>178</v>
      </c>
      <c r="I3" s="3" t="s">
        <v>179</v>
      </c>
      <c r="K3" s="1" t="str">
        <f t="shared" ref="K3:K18" si="1">MID(H3,11,30)</f>
        <v/>
      </c>
      <c r="L3" s="1" t="str">
        <f t="shared" ref="L3:L18" si="2">MID(I3,13,30)</f>
        <v/>
      </c>
    </row>
    <row r="4" spans="1:12" ht="16.8" x14ac:dyDescent="0.4">
      <c r="A4" s="2" t="s">
        <v>6</v>
      </c>
      <c r="B4" s="1" t="str">
        <f t="shared" si="0"/>
        <v>CZ02</v>
      </c>
      <c r="C4" s="1" t="s">
        <v>163</v>
      </c>
      <c r="E4" s="1" t="s">
        <v>162</v>
      </c>
      <c r="F4" s="1" t="s">
        <v>161</v>
      </c>
      <c r="G4" s="1" t="s">
        <v>160</v>
      </c>
      <c r="H4" s="3" t="s">
        <v>180</v>
      </c>
      <c r="I4" s="3" t="s">
        <v>181</v>
      </c>
      <c r="K4" s="1" t="str">
        <f t="shared" si="1"/>
        <v/>
      </c>
      <c r="L4" s="1" t="str">
        <f t="shared" si="2"/>
        <v/>
      </c>
    </row>
    <row r="5" spans="1:12" ht="16.8" x14ac:dyDescent="0.4">
      <c r="A5" s="2" t="s">
        <v>7</v>
      </c>
      <c r="B5" s="1" t="str">
        <f t="shared" si="0"/>
        <v>CZ70</v>
      </c>
      <c r="C5" s="1" t="s">
        <v>163</v>
      </c>
      <c r="E5" s="1" t="s">
        <v>162</v>
      </c>
      <c r="F5" s="1" t="s">
        <v>161</v>
      </c>
      <c r="G5" s="1" t="s">
        <v>160</v>
      </c>
      <c r="H5" s="3" t="s">
        <v>180</v>
      </c>
      <c r="I5" s="3" t="s">
        <v>181</v>
      </c>
      <c r="K5" s="1" t="str">
        <f t="shared" si="1"/>
        <v/>
      </c>
      <c r="L5" s="1" t="str">
        <f t="shared" si="2"/>
        <v/>
      </c>
    </row>
    <row r="6" spans="1:12" ht="16.8" x14ac:dyDescent="0.4">
      <c r="A6" s="2" t="s">
        <v>8</v>
      </c>
      <c r="B6" s="1" t="str">
        <f t="shared" si="0"/>
        <v>DE01</v>
      </c>
      <c r="C6" s="1" t="s">
        <v>159</v>
      </c>
      <c r="E6" s="1">
        <v>76661</v>
      </c>
      <c r="F6" s="1" t="s">
        <v>158</v>
      </c>
      <c r="G6" s="1" t="s">
        <v>143</v>
      </c>
      <c r="H6" s="3" t="s">
        <v>182</v>
      </c>
      <c r="I6" s="3" t="s">
        <v>183</v>
      </c>
      <c r="K6" s="1" t="str">
        <f t="shared" si="1"/>
        <v/>
      </c>
      <c r="L6" s="1" t="str">
        <f t="shared" si="2"/>
        <v/>
      </c>
    </row>
    <row r="7" spans="1:12" ht="16.8" x14ac:dyDescent="0.4">
      <c r="A7" s="2" t="s">
        <v>9</v>
      </c>
      <c r="B7" s="1" t="str">
        <f t="shared" si="0"/>
        <v>DE30</v>
      </c>
      <c r="C7" s="1" t="s">
        <v>157</v>
      </c>
      <c r="E7" s="1">
        <v>36043</v>
      </c>
      <c r="F7" s="1" t="s">
        <v>156</v>
      </c>
      <c r="G7" s="1" t="s">
        <v>143</v>
      </c>
      <c r="H7" s="3" t="s">
        <v>184</v>
      </c>
      <c r="I7" s="3" t="s">
        <v>185</v>
      </c>
      <c r="K7" s="1" t="str">
        <f t="shared" si="1"/>
        <v/>
      </c>
      <c r="L7" s="1" t="str">
        <f t="shared" si="2"/>
        <v/>
      </c>
    </row>
    <row r="8" spans="1:12" ht="16.8" x14ac:dyDescent="0.4">
      <c r="A8" s="2" t="s">
        <v>10</v>
      </c>
      <c r="B8" s="1" t="str">
        <f t="shared" si="0"/>
        <v>DE31</v>
      </c>
      <c r="C8" s="1" t="s">
        <v>155</v>
      </c>
      <c r="E8" s="1">
        <v>36119</v>
      </c>
      <c r="F8" s="1" t="s">
        <v>154</v>
      </c>
      <c r="G8" s="1" t="s">
        <v>143</v>
      </c>
      <c r="H8" s="3" t="s">
        <v>186</v>
      </c>
      <c r="I8" s="3" t="s">
        <v>187</v>
      </c>
      <c r="K8" s="1" t="str">
        <f t="shared" si="1"/>
        <v/>
      </c>
      <c r="L8" s="1" t="str">
        <f t="shared" si="2"/>
        <v/>
      </c>
    </row>
    <row r="9" spans="1:12" ht="16.8" x14ac:dyDescent="0.4">
      <c r="A9" s="2" t="s">
        <v>11</v>
      </c>
      <c r="B9" s="1" t="str">
        <f t="shared" si="0"/>
        <v>DE51</v>
      </c>
      <c r="C9" s="1" t="s">
        <v>153</v>
      </c>
      <c r="E9" s="1">
        <v>63450</v>
      </c>
      <c r="F9" s="1" t="s">
        <v>152</v>
      </c>
      <c r="G9" s="1" t="s">
        <v>143</v>
      </c>
      <c r="H9" s="3" t="s">
        <v>188</v>
      </c>
      <c r="I9" s="3" t="s">
        <v>189</v>
      </c>
      <c r="K9" s="1" t="str">
        <f t="shared" si="1"/>
        <v/>
      </c>
      <c r="L9" s="1" t="str">
        <f t="shared" si="2"/>
        <v/>
      </c>
    </row>
    <row r="10" spans="1:12" ht="16.8" x14ac:dyDescent="0.4">
      <c r="A10" s="2" t="s">
        <v>12</v>
      </c>
      <c r="B10" s="1" t="str">
        <f t="shared" si="0"/>
        <v>DE52</v>
      </c>
      <c r="C10" s="1" t="s">
        <v>151</v>
      </c>
      <c r="E10" s="1">
        <v>63517</v>
      </c>
      <c r="F10" s="1" t="s">
        <v>150</v>
      </c>
      <c r="G10" s="1" t="s">
        <v>143</v>
      </c>
      <c r="H10" s="3" t="s">
        <v>190</v>
      </c>
      <c r="I10" s="3" t="s">
        <v>191</v>
      </c>
      <c r="K10" s="1" t="str">
        <f t="shared" si="1"/>
        <v/>
      </c>
      <c r="L10" s="1" t="str">
        <f t="shared" si="2"/>
        <v/>
      </c>
    </row>
    <row r="11" spans="1:12" ht="16.8" x14ac:dyDescent="0.4">
      <c r="A11" s="2" t="s">
        <v>13</v>
      </c>
      <c r="B11" s="1" t="str">
        <f t="shared" si="0"/>
        <v>DE55</v>
      </c>
      <c r="C11" s="1" t="s">
        <v>149</v>
      </c>
      <c r="E11" s="1">
        <v>15517</v>
      </c>
      <c r="F11" s="1" t="s">
        <v>148</v>
      </c>
      <c r="G11" s="1" t="s">
        <v>143</v>
      </c>
      <c r="H11" s="3" t="s">
        <v>192</v>
      </c>
      <c r="I11" s="3" t="s">
        <v>193</v>
      </c>
      <c r="K11" s="1" t="str">
        <f t="shared" si="1"/>
        <v/>
      </c>
      <c r="L11" s="1" t="str">
        <f t="shared" si="2"/>
        <v/>
      </c>
    </row>
    <row r="12" spans="1:12" ht="16.8" x14ac:dyDescent="0.4">
      <c r="A12" s="2" t="s">
        <v>14</v>
      </c>
      <c r="B12" s="1" t="str">
        <f t="shared" si="0"/>
        <v>DE56</v>
      </c>
      <c r="C12" s="1" t="s">
        <v>147</v>
      </c>
      <c r="E12" s="1">
        <v>1591</v>
      </c>
      <c r="F12" s="1" t="s">
        <v>146</v>
      </c>
      <c r="G12" s="1" t="s">
        <v>143</v>
      </c>
      <c r="H12" s="3" t="s">
        <v>194</v>
      </c>
      <c r="I12" s="3" t="s">
        <v>195</v>
      </c>
      <c r="K12" s="1" t="str">
        <f t="shared" si="1"/>
        <v/>
      </c>
      <c r="L12" s="1" t="str">
        <f t="shared" si="2"/>
        <v/>
      </c>
    </row>
    <row r="13" spans="1:12" ht="16.8" x14ac:dyDescent="0.4">
      <c r="A13" s="2" t="s">
        <v>15</v>
      </c>
      <c r="B13" s="1" t="str">
        <f t="shared" si="0"/>
        <v>DEV4</v>
      </c>
      <c r="C13" s="1" t="s">
        <v>145</v>
      </c>
      <c r="E13" s="1">
        <v>23754</v>
      </c>
      <c r="F13" s="1" t="s">
        <v>144</v>
      </c>
      <c r="G13" s="1" t="s">
        <v>143</v>
      </c>
      <c r="H13" s="3" t="s">
        <v>196</v>
      </c>
      <c r="I13" s="3" t="s">
        <v>197</v>
      </c>
      <c r="K13" s="1" t="str">
        <f t="shared" si="1"/>
        <v/>
      </c>
      <c r="L13" s="1" t="str">
        <f t="shared" si="2"/>
        <v/>
      </c>
    </row>
    <row r="14" spans="1:12" ht="16.8" x14ac:dyDescent="0.4">
      <c r="A14" s="2" t="s">
        <v>16</v>
      </c>
      <c r="B14" s="1" t="str">
        <f t="shared" si="0"/>
        <v>ES01</v>
      </c>
      <c r="C14" s="1" t="s">
        <v>142</v>
      </c>
      <c r="E14" s="1">
        <v>28806</v>
      </c>
      <c r="F14" s="1" t="s">
        <v>141</v>
      </c>
      <c r="G14" s="1" t="s">
        <v>140</v>
      </c>
      <c r="H14" s="3" t="s">
        <v>198</v>
      </c>
      <c r="I14" s="3" t="s">
        <v>199</v>
      </c>
      <c r="K14" s="1" t="str">
        <f t="shared" si="1"/>
        <v/>
      </c>
      <c r="L14" s="1" t="str">
        <f t="shared" si="2"/>
        <v/>
      </c>
    </row>
    <row r="15" spans="1:12" ht="16.8" x14ac:dyDescent="0.4">
      <c r="A15" s="2" t="s">
        <v>17</v>
      </c>
      <c r="B15" s="1" t="str">
        <f t="shared" si="0"/>
        <v>FI01</v>
      </c>
      <c r="C15" s="1" t="s">
        <v>139</v>
      </c>
      <c r="E15" s="1">
        <v>45200</v>
      </c>
      <c r="F15" s="1" t="s">
        <v>138</v>
      </c>
      <c r="G15" s="1" t="s">
        <v>137</v>
      </c>
      <c r="H15" s="3" t="s">
        <v>200</v>
      </c>
      <c r="I15" s="3" t="s">
        <v>201</v>
      </c>
      <c r="K15" s="1" t="str">
        <f t="shared" si="1"/>
        <v/>
      </c>
      <c r="L15" s="1" t="str">
        <f t="shared" si="2"/>
        <v/>
      </c>
    </row>
    <row r="16" spans="1:12" ht="16.8" x14ac:dyDescent="0.4">
      <c r="A16" s="2" t="s">
        <v>18</v>
      </c>
      <c r="B16" s="1" t="str">
        <f t="shared" si="0"/>
        <v>FR03</v>
      </c>
      <c r="C16" s="1" t="s">
        <v>136</v>
      </c>
      <c r="E16" s="1">
        <v>80800</v>
      </c>
      <c r="F16" s="1" t="s">
        <v>135</v>
      </c>
      <c r="G16" s="1" t="s">
        <v>124</v>
      </c>
      <c r="H16" s="3" t="s">
        <v>202</v>
      </c>
      <c r="I16" s="3" t="s">
        <v>203</v>
      </c>
      <c r="K16" s="1" t="str">
        <f t="shared" si="1"/>
        <v/>
      </c>
      <c r="L16" s="1" t="str">
        <f t="shared" si="2"/>
        <v/>
      </c>
    </row>
    <row r="17" spans="1:12" ht="16.8" x14ac:dyDescent="0.4">
      <c r="A17" s="2" t="s">
        <v>19</v>
      </c>
      <c r="B17" s="1" t="str">
        <f t="shared" si="0"/>
        <v>FR13</v>
      </c>
      <c r="C17" s="1" t="s">
        <v>134</v>
      </c>
      <c r="E17" s="1">
        <v>13140</v>
      </c>
      <c r="F17" s="1" t="s">
        <v>133</v>
      </c>
      <c r="G17" s="1" t="s">
        <v>124</v>
      </c>
      <c r="H17" s="3" t="s">
        <v>204</v>
      </c>
      <c r="I17" s="3" t="s">
        <v>205</v>
      </c>
      <c r="K17" s="1" t="str">
        <f t="shared" si="1"/>
        <v/>
      </c>
      <c r="L17" s="1" t="str">
        <f t="shared" si="2"/>
        <v/>
      </c>
    </row>
    <row r="18" spans="1:12" ht="16.8" x14ac:dyDescent="0.4">
      <c r="A18" s="2" t="s">
        <v>20</v>
      </c>
      <c r="B18" s="1" t="str">
        <f t="shared" si="0"/>
        <v>FR79</v>
      </c>
      <c r="C18" s="1" t="s">
        <v>132</v>
      </c>
      <c r="E18" s="1">
        <v>80000</v>
      </c>
      <c r="F18" s="1" t="s">
        <v>131</v>
      </c>
      <c r="G18" s="1" t="s">
        <v>124</v>
      </c>
      <c r="H18" s="3" t="s">
        <v>206</v>
      </c>
      <c r="I18" s="3" t="s">
        <v>207</v>
      </c>
      <c r="K18" s="1" t="str">
        <f t="shared" si="1"/>
        <v/>
      </c>
      <c r="L18" s="1" t="str">
        <f t="shared" si="2"/>
        <v/>
      </c>
    </row>
    <row r="19" spans="1:12" ht="16.8" x14ac:dyDescent="0.4">
      <c r="A19" s="2" t="s">
        <v>21</v>
      </c>
      <c r="B19" s="1" t="str">
        <f t="shared" si="0"/>
        <v>FRV1</v>
      </c>
      <c r="C19" s="1" t="s">
        <v>130</v>
      </c>
      <c r="E19" s="1">
        <v>21200</v>
      </c>
      <c r="F19" s="1" t="s">
        <v>129</v>
      </c>
      <c r="G19" s="1" t="s">
        <v>124</v>
      </c>
      <c r="H19" s="3" t="s">
        <v>208</v>
      </c>
      <c r="I19" s="3" t="s">
        <v>209</v>
      </c>
    </row>
    <row r="20" spans="1:12" ht="16.8" x14ac:dyDescent="0.4">
      <c r="A20" s="2" t="s">
        <v>22</v>
      </c>
      <c r="B20" s="1" t="str">
        <f t="shared" si="0"/>
        <v>FRV4</v>
      </c>
      <c r="C20" s="1" t="s">
        <v>128</v>
      </c>
      <c r="E20" s="1">
        <v>26000</v>
      </c>
      <c r="F20" s="1" t="s">
        <v>127</v>
      </c>
      <c r="G20" s="1" t="s">
        <v>124</v>
      </c>
      <c r="H20" s="3" t="s">
        <v>210</v>
      </c>
      <c r="I20" s="3" t="s">
        <v>211</v>
      </c>
    </row>
    <row r="21" spans="1:12" ht="16.8" x14ac:dyDescent="0.4">
      <c r="A21" s="2" t="s">
        <v>23</v>
      </c>
      <c r="B21" s="1" t="str">
        <f t="shared" si="0"/>
        <v>FRV5</v>
      </c>
      <c r="C21" s="1" t="s">
        <v>126</v>
      </c>
      <c r="E21" s="1">
        <v>68190</v>
      </c>
      <c r="F21" s="1" t="s">
        <v>125</v>
      </c>
      <c r="G21" s="1" t="s">
        <v>124</v>
      </c>
      <c r="H21" s="3" t="s">
        <v>212</v>
      </c>
      <c r="I21" s="3" t="s">
        <v>213</v>
      </c>
    </row>
    <row r="22" spans="1:12" ht="16.8" x14ac:dyDescent="0.4">
      <c r="A22" s="2" t="s">
        <v>24</v>
      </c>
      <c r="B22" s="1" t="str">
        <f t="shared" si="0"/>
        <v>GB01</v>
      </c>
      <c r="C22" s="1" t="s">
        <v>123</v>
      </c>
      <c r="E22" s="1" t="s">
        <v>122</v>
      </c>
      <c r="F22" s="1" t="s">
        <v>121</v>
      </c>
      <c r="G22" s="1" t="s">
        <v>120</v>
      </c>
      <c r="H22" s="3" t="s">
        <v>214</v>
      </c>
      <c r="I22" s="3" t="s">
        <v>215</v>
      </c>
    </row>
    <row r="23" spans="1:12" ht="16.8" x14ac:dyDescent="0.4">
      <c r="A23" s="2" t="s">
        <v>25</v>
      </c>
      <c r="B23" s="1" t="str">
        <f t="shared" si="0"/>
        <v>GR01</v>
      </c>
      <c r="C23" s="1" t="s">
        <v>119</v>
      </c>
      <c r="E23" s="1" t="s">
        <v>118</v>
      </c>
      <c r="F23" s="1" t="s">
        <v>117</v>
      </c>
      <c r="G23" s="1" t="s">
        <v>116</v>
      </c>
      <c r="H23" s="3" t="s">
        <v>216</v>
      </c>
      <c r="I23" s="3" t="s">
        <v>217</v>
      </c>
    </row>
    <row r="24" spans="1:12" ht="16.8" x14ac:dyDescent="0.4">
      <c r="A24" s="2" t="s">
        <v>26</v>
      </c>
      <c r="B24" s="1" t="str">
        <f t="shared" si="0"/>
        <v>IT01</v>
      </c>
      <c r="C24" s="1" t="s">
        <v>115</v>
      </c>
      <c r="E24" s="1">
        <v>28060</v>
      </c>
      <c r="F24" s="1" t="s">
        <v>114</v>
      </c>
      <c r="G24" s="1" t="s">
        <v>109</v>
      </c>
      <c r="H24" s="3" t="s">
        <v>218</v>
      </c>
      <c r="I24" s="3" t="s">
        <v>219</v>
      </c>
    </row>
    <row r="25" spans="1:12" ht="16.8" x14ac:dyDescent="0.4">
      <c r="A25" s="2" t="s">
        <v>27</v>
      </c>
      <c r="B25" s="1" t="str">
        <f t="shared" si="0"/>
        <v>IT03</v>
      </c>
      <c r="C25" s="1" t="s">
        <v>113</v>
      </c>
      <c r="E25" s="1">
        <v>4011</v>
      </c>
      <c r="F25" s="1" t="s">
        <v>112</v>
      </c>
      <c r="G25" s="1" t="s">
        <v>109</v>
      </c>
      <c r="H25" s="3" t="s">
        <v>220</v>
      </c>
      <c r="I25" s="3" t="s">
        <v>221</v>
      </c>
    </row>
    <row r="26" spans="1:12" ht="16.8" x14ac:dyDescent="0.4">
      <c r="A26" s="2" t="s">
        <v>28</v>
      </c>
      <c r="B26" s="1" t="str">
        <f t="shared" si="0"/>
        <v>ITV1</v>
      </c>
      <c r="C26" s="1" t="s">
        <v>111</v>
      </c>
      <c r="E26" s="1">
        <v>24068</v>
      </c>
      <c r="F26" s="1" t="s">
        <v>110</v>
      </c>
      <c r="G26" s="1" t="s">
        <v>109</v>
      </c>
      <c r="H26" s="3" t="s">
        <v>222</v>
      </c>
      <c r="I26" s="3" t="s">
        <v>223</v>
      </c>
    </row>
    <row r="27" spans="1:12" ht="16.8" x14ac:dyDescent="0.4">
      <c r="A27" s="2" t="s">
        <v>29</v>
      </c>
      <c r="B27" s="1" t="str">
        <f t="shared" si="0"/>
        <v>NO02</v>
      </c>
      <c r="C27" s="1" t="s">
        <v>108</v>
      </c>
      <c r="E27" s="1">
        <v>1540</v>
      </c>
      <c r="F27" s="1" t="s">
        <v>107</v>
      </c>
      <c r="G27" s="1" t="s">
        <v>106</v>
      </c>
      <c r="H27" s="3" t="s">
        <v>224</v>
      </c>
      <c r="I27" s="3" t="s">
        <v>225</v>
      </c>
    </row>
    <row r="28" spans="1:12" ht="16.8" x14ac:dyDescent="0.4">
      <c r="A28" s="2" t="s">
        <v>30</v>
      </c>
      <c r="B28" s="1" t="str">
        <f t="shared" si="0"/>
        <v>PL01</v>
      </c>
      <c r="C28" s="1" t="s">
        <v>105</v>
      </c>
      <c r="E28" s="1" t="s">
        <v>104</v>
      </c>
      <c r="F28" s="1" t="s">
        <v>103</v>
      </c>
      <c r="G28" s="1" t="s">
        <v>99</v>
      </c>
      <c r="H28" s="3" t="s">
        <v>226</v>
      </c>
      <c r="I28" s="3" t="s">
        <v>227</v>
      </c>
    </row>
    <row r="29" spans="1:12" ht="16.8" x14ac:dyDescent="0.4">
      <c r="A29" s="2" t="s">
        <v>31</v>
      </c>
      <c r="B29" s="1" t="str">
        <f t="shared" si="0"/>
        <v>PLV1</v>
      </c>
      <c r="C29" s="1" t="s">
        <v>102</v>
      </c>
      <c r="E29" s="1" t="s">
        <v>101</v>
      </c>
      <c r="F29" s="1" t="s">
        <v>100</v>
      </c>
      <c r="G29" s="1" t="s">
        <v>99</v>
      </c>
      <c r="H29" s="3" t="s">
        <v>228</v>
      </c>
      <c r="I29" s="3" t="s">
        <v>229</v>
      </c>
    </row>
    <row r="30" spans="1:12" ht="16.8" x14ac:dyDescent="0.4">
      <c r="A30" s="2" t="s">
        <v>32</v>
      </c>
      <c r="B30" s="1" t="str">
        <f t="shared" si="0"/>
        <v>RO01</v>
      </c>
      <c r="C30" s="1" t="s">
        <v>98</v>
      </c>
      <c r="E30" s="1">
        <v>77096</v>
      </c>
      <c r="F30" s="1" t="s">
        <v>97</v>
      </c>
      <c r="G30" s="1" t="s">
        <v>96</v>
      </c>
      <c r="H30" s="3" t="s">
        <v>230</v>
      </c>
      <c r="I30" s="3" t="s">
        <v>231</v>
      </c>
    </row>
    <row r="31" spans="1:12" ht="16.8" x14ac:dyDescent="0.4">
      <c r="A31" s="2" t="s">
        <v>33</v>
      </c>
      <c r="B31" s="1" t="str">
        <f t="shared" si="0"/>
        <v>RS01</v>
      </c>
      <c r="C31" s="1" t="s">
        <v>95</v>
      </c>
      <c r="F31" s="1" t="s">
        <v>94</v>
      </c>
      <c r="G31" s="1" t="s">
        <v>91</v>
      </c>
      <c r="H31" s="3" t="s">
        <v>232</v>
      </c>
      <c r="I31" s="3" t="s">
        <v>233</v>
      </c>
    </row>
    <row r="32" spans="1:12" ht="16.8" x14ac:dyDescent="0.4">
      <c r="A32" s="2" t="s">
        <v>34</v>
      </c>
      <c r="B32" s="1" t="str">
        <f t="shared" si="0"/>
        <v>RS02</v>
      </c>
      <c r="C32" s="1" t="s">
        <v>93</v>
      </c>
      <c r="E32" s="1">
        <v>22310</v>
      </c>
      <c r="F32" s="1" t="s">
        <v>92</v>
      </c>
      <c r="G32" s="1" t="s">
        <v>91</v>
      </c>
      <c r="H32" s="3" t="s">
        <v>234</v>
      </c>
      <c r="I32" s="3" t="s">
        <v>235</v>
      </c>
    </row>
    <row r="33" spans="1:9" ht="16.8" x14ac:dyDescent="0.4">
      <c r="A33" s="2" t="s">
        <v>35</v>
      </c>
      <c r="B33" s="1" t="str">
        <f t="shared" si="0"/>
        <v>SE01</v>
      </c>
      <c r="C33" s="1" t="s">
        <v>90</v>
      </c>
      <c r="E33" s="1" t="s">
        <v>89</v>
      </c>
      <c r="F33" s="1" t="s">
        <v>88</v>
      </c>
      <c r="G33" s="1" t="s">
        <v>87</v>
      </c>
      <c r="H33" s="3" t="s">
        <v>236</v>
      </c>
      <c r="I33" s="3" t="s">
        <v>237</v>
      </c>
    </row>
    <row r="34" spans="1:9" ht="16.8" x14ac:dyDescent="0.4">
      <c r="A34" s="2" t="s">
        <v>36</v>
      </c>
      <c r="B34" s="1" t="str">
        <f t="shared" si="0"/>
        <v>SI01</v>
      </c>
      <c r="C34" s="1" t="s">
        <v>86</v>
      </c>
      <c r="E34" s="1">
        <v>4000</v>
      </c>
      <c r="F34" s="1" t="s">
        <v>85</v>
      </c>
      <c r="G34" s="1" t="s">
        <v>84</v>
      </c>
      <c r="H34" s="4" t="s">
        <v>238</v>
      </c>
      <c r="I34" s="3" t="s">
        <v>239</v>
      </c>
    </row>
    <row r="35" spans="1:9" ht="16.8" x14ac:dyDescent="0.4">
      <c r="A35" s="2" t="s">
        <v>37</v>
      </c>
      <c r="B35" s="1" t="str">
        <f t="shared" si="0"/>
        <v>TR01</v>
      </c>
      <c r="C35" s="1" t="s">
        <v>83</v>
      </c>
      <c r="E35" s="1">
        <v>54580</v>
      </c>
      <c r="F35" s="1" t="s">
        <v>82</v>
      </c>
      <c r="G35" s="1" t="s">
        <v>79</v>
      </c>
      <c r="H35" s="3" t="s">
        <v>240</v>
      </c>
      <c r="I35" s="3" t="s">
        <v>241</v>
      </c>
    </row>
    <row r="36" spans="1:9" ht="16.8" x14ac:dyDescent="0.4">
      <c r="A36" s="2" t="s">
        <v>38</v>
      </c>
      <c r="B36" s="1" t="str">
        <f t="shared" si="0"/>
        <v>TR03</v>
      </c>
      <c r="C36" s="1" t="s">
        <v>81</v>
      </c>
      <c r="E36" s="1">
        <v>41400</v>
      </c>
      <c r="F36" s="1" t="s">
        <v>80</v>
      </c>
      <c r="G36" s="1" t="s">
        <v>79</v>
      </c>
      <c r="H36" s="3" t="s">
        <v>242</v>
      </c>
      <c r="I36" s="3" t="s">
        <v>243</v>
      </c>
    </row>
    <row r="37" spans="1:9" ht="16.8" x14ac:dyDescent="0.4">
      <c r="A37" s="2" t="s">
        <v>39</v>
      </c>
      <c r="B37" s="1" t="str">
        <f t="shared" si="0"/>
        <v>UA03</v>
      </c>
      <c r="C37" s="1" t="s">
        <v>78</v>
      </c>
      <c r="E37" s="1">
        <v>4070</v>
      </c>
      <c r="F37" s="1" t="s">
        <v>77</v>
      </c>
      <c r="G37" s="1" t="s">
        <v>74</v>
      </c>
      <c r="H37" s="3" t="s">
        <v>244</v>
      </c>
      <c r="I37" s="3" t="s">
        <v>245</v>
      </c>
    </row>
    <row r="38" spans="1:9" ht="16.8" x14ac:dyDescent="0.4">
      <c r="A38" s="2" t="s">
        <v>40</v>
      </c>
      <c r="B38" s="1" t="str">
        <f t="shared" si="0"/>
        <v>UAV1</v>
      </c>
      <c r="C38" s="1" t="s">
        <v>76</v>
      </c>
      <c r="E38" s="1">
        <v>2660</v>
      </c>
      <c r="F38" s="1" t="s">
        <v>75</v>
      </c>
      <c r="G38" s="1" t="s">
        <v>74</v>
      </c>
      <c r="H38" s="3" t="s">
        <v>244</v>
      </c>
      <c r="I38" s="3" t="s">
        <v>245</v>
      </c>
    </row>
    <row r="39" spans="1:9" ht="16.8" x14ac:dyDescent="0.4">
      <c r="A39" s="2" t="s">
        <v>41</v>
      </c>
      <c r="B39" s="1" t="str">
        <f t="shared" si="0"/>
        <v>ZA01</v>
      </c>
      <c r="C39" s="1" t="s">
        <v>73</v>
      </c>
      <c r="D39" s="1">
        <v>126</v>
      </c>
      <c r="E39" s="1">
        <v>6229</v>
      </c>
      <c r="F39" s="1" t="s">
        <v>72</v>
      </c>
      <c r="G39" s="1" t="s">
        <v>67</v>
      </c>
      <c r="H39" s="3" t="s">
        <v>246</v>
      </c>
      <c r="I39" s="3" t="s">
        <v>247</v>
      </c>
    </row>
    <row r="40" spans="1:9" ht="16.8" x14ac:dyDescent="0.4">
      <c r="A40" s="2" t="s">
        <v>42</v>
      </c>
      <c r="B40" s="1" t="str">
        <f t="shared" si="0"/>
        <v>ZA03</v>
      </c>
      <c r="C40" s="1" t="s">
        <v>71</v>
      </c>
      <c r="D40" s="1">
        <v>562</v>
      </c>
      <c r="E40" s="1">
        <v>1401</v>
      </c>
      <c r="F40" s="1" t="s">
        <v>70</v>
      </c>
      <c r="G40" s="1" t="s">
        <v>67</v>
      </c>
      <c r="H40" s="3" t="s">
        <v>248</v>
      </c>
      <c r="I40" s="3" t="s">
        <v>249</v>
      </c>
    </row>
    <row r="41" spans="1:9" ht="16.8" x14ac:dyDescent="0.4">
      <c r="A41" s="2" t="s">
        <v>43</v>
      </c>
      <c r="B41" s="1" t="str">
        <f t="shared" si="0"/>
        <v>ZA09</v>
      </c>
      <c r="C41" s="1" t="s">
        <v>69</v>
      </c>
      <c r="E41" s="1">
        <v>6001</v>
      </c>
      <c r="F41" s="1" t="s">
        <v>68</v>
      </c>
      <c r="G41" s="1" t="s">
        <v>67</v>
      </c>
      <c r="H41" s="3" t="s">
        <v>250</v>
      </c>
      <c r="I41" s="3" t="s">
        <v>251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</vt:lpstr>
      <vt:lpstr>by Wh.Role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Barbieri</dc:creator>
  <cp:lastModifiedBy>Andrea Barbieri</cp:lastModifiedBy>
  <dcterms:created xsi:type="dcterms:W3CDTF">2026-02-19T15:24:54Z</dcterms:created>
  <dcterms:modified xsi:type="dcterms:W3CDTF">2026-02-19T20:20:13Z</dcterms:modified>
</cp:coreProperties>
</file>