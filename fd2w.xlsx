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oodyearcorp-my.sharepoint.com/personal/andrea_barbieri_goodyear_com/Documents/Desktop/"/>
    </mc:Choice>
  </mc:AlternateContent>
  <xr:revisionPtr revIDLastSave="0" documentId="8_{D681DBDF-1CFE-4E88-B47B-EC06BE9DA24C}" xr6:coauthVersionLast="47" xr6:coauthVersionMax="47" xr10:uidLastSave="{00000000-0000-0000-0000-000000000000}"/>
  <bookViews>
    <workbookView xWindow="-108" yWindow="-108" windowWidth="23256" windowHeight="12456" xr2:uid="{287A4C4F-D914-4D57-A0EE-DF1421D56C07}"/>
  </bookViews>
  <sheets>
    <sheet name="full" sheetId="1" r:id="rId1"/>
    <sheet name="by Wh.Role" sheetId="2" r:id="rId2"/>
    <sheet name="Sheet1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3" l="1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</calcChain>
</file>

<file path=xl/sharedStrings.xml><?xml version="1.0" encoding="utf-8"?>
<sst xmlns="http://schemas.openxmlformats.org/spreadsheetml/2006/main" count="393" uniqueCount="178">
  <si>
    <t>Forecast at LDC</t>
  </si>
  <si>
    <t>Forecast at LDC (area split)</t>
  </si>
  <si>
    <t>Forecast at RDC</t>
  </si>
  <si>
    <t>Forecast at Factory Warehouse</t>
  </si>
  <si>
    <t>Cluster View Level 4</t>
  </si>
  <si>
    <t>- UNKNOWN EU FACILITY</t>
  </si>
  <si>
    <t>AE01 - Goodyear Dubai</t>
  </si>
  <si>
    <t>CH01 - CPIC - Bülach</t>
  </si>
  <si>
    <t>CZ02 - CPIC - Cheb</t>
  </si>
  <si>
    <t>CZ70 - Tysys Wholesale</t>
  </si>
  <si>
    <t>DE01 - CPIC - Philippsburg</t>
  </si>
  <si>
    <t>DE30 - CPIC - Fulda</t>
  </si>
  <si>
    <t>DE31 - CPIC - Dorfborn</t>
  </si>
  <si>
    <t>DE51 - CPIC - Hanau</t>
  </si>
  <si>
    <t>DE52 - CPIC - Rodenbach</t>
  </si>
  <si>
    <t>DE55 - CPIC - Fürstenwalde</t>
  </si>
  <si>
    <t>DE56 - CPIC - Riesa</t>
  </si>
  <si>
    <t>DEV4 - VMI - Delticom - Lager 53</t>
  </si>
  <si>
    <t>ES01 - CPIC - ES Madrid Alcalá</t>
  </si>
  <si>
    <t>FI01 - CPIC - Kouvola</t>
  </si>
  <si>
    <t>FR03 - BTL Logistique</t>
  </si>
  <si>
    <t>FR13 - CPIC - MARSEILLE</t>
  </si>
  <si>
    <t>FR79 - CPIC - Amiens</t>
  </si>
  <si>
    <t>FRV1 - VMI - Magasin-Beaune</t>
  </si>
  <si>
    <t>FRV4 - VMI - Allopneu-Valence</t>
  </si>
  <si>
    <t>FRV5 - VMI - Delticom-Ensisheim</t>
  </si>
  <si>
    <t>GB01 - CPIC - DHL ISC</t>
  </si>
  <si>
    <t>GR01 - CPIC - Athens</t>
  </si>
  <si>
    <t>IT01 - CPIC - Novara S.Pietro</t>
  </si>
  <si>
    <t>IT03 - CPIC - Aprilia</t>
  </si>
  <si>
    <t>ITV1 - VMI - Fintyre-Seriate</t>
  </si>
  <si>
    <t>NO02 - CPIC - Moss</t>
  </si>
  <si>
    <t>PL01 - CPIC - Tarnow</t>
  </si>
  <si>
    <t>PLV1 - ENIS Kraków</t>
  </si>
  <si>
    <t>RO01 - CPIC - Bucharest</t>
  </si>
  <si>
    <t>RS01 - GY Kruševac</t>
  </si>
  <si>
    <t>RS02 - GY Belgrade</t>
  </si>
  <si>
    <t>SE01 - CPIC - Jönköping</t>
  </si>
  <si>
    <t>SI01 - CPIC - Kranj</t>
  </si>
  <si>
    <t>TR01 - Goodyear Adapazari</t>
  </si>
  <si>
    <t>TR03 - Goodyear Gebze Depo</t>
  </si>
  <si>
    <t>UA03 - UA03 - Shipments</t>
  </si>
  <si>
    <t>UAV1 - VMI - Infoshina</t>
  </si>
  <si>
    <t>ZA01 - SA Uitenhage</t>
  </si>
  <si>
    <t>ZA03 - SA Germiston</t>
  </si>
  <si>
    <t>ZA09 - SA Coega</t>
  </si>
  <si>
    <t>Adria</t>
  </si>
  <si>
    <t>Austria</t>
  </si>
  <si>
    <t>Baltics</t>
  </si>
  <si>
    <t>Benelux</t>
  </si>
  <si>
    <t>Bulgaria</t>
  </si>
  <si>
    <t>Czech Republic</t>
  </si>
  <si>
    <t>France Group</t>
  </si>
  <si>
    <t>GCC Group</t>
  </si>
  <si>
    <t>Germany</t>
  </si>
  <si>
    <t>Greece Group</t>
  </si>
  <si>
    <t>Hungary</t>
  </si>
  <si>
    <t>Iberia</t>
  </si>
  <si>
    <t>Italy Group</t>
  </si>
  <si>
    <t>Nordics</t>
  </si>
  <si>
    <t>Poland</t>
  </si>
  <si>
    <t>Romania</t>
  </si>
  <si>
    <t>Slovakia</t>
  </si>
  <si>
    <t>South Africa Group</t>
  </si>
  <si>
    <t>Switzerland</t>
  </si>
  <si>
    <t>Turkey Group</t>
  </si>
  <si>
    <t>UK / Ireland</t>
  </si>
  <si>
    <t>Ukraine</t>
  </si>
  <si>
    <t>Grand Total</t>
  </si>
  <si>
    <t>ZA</t>
  </si>
  <si>
    <t>PORT ELIZABETH</t>
  </si>
  <si>
    <t>62 Umlambo Street</t>
  </si>
  <si>
    <t>Germiston</t>
  </si>
  <si>
    <t>A.G. de Witt Drive</t>
  </si>
  <si>
    <t>Uitenhage</t>
  </si>
  <si>
    <t>Algoa Road</t>
  </si>
  <si>
    <t>UA</t>
  </si>
  <si>
    <t>Kyiv</t>
  </si>
  <si>
    <t>1a Pukhivska Str.</t>
  </si>
  <si>
    <t>Kiev</t>
  </si>
  <si>
    <t>Illinska, 8, block 8</t>
  </si>
  <si>
    <t>TR</t>
  </si>
  <si>
    <t>Gebze / Kocaeli</t>
  </si>
  <si>
    <t>cad. No:15</t>
  </si>
  <si>
    <t>Arifiye</t>
  </si>
  <si>
    <t>Good Year, Arifbey</t>
  </si>
  <si>
    <t>SI</t>
  </si>
  <si>
    <t>Kranj</t>
  </si>
  <si>
    <t>Skofjeloska cesta 6</t>
  </si>
  <si>
    <t>SE</t>
  </si>
  <si>
    <t>Jönköping</t>
  </si>
  <si>
    <t>556 52</t>
  </si>
  <si>
    <t>Möbelvägen 39</t>
  </si>
  <si>
    <t>RS</t>
  </si>
  <si>
    <t>Šimanovci</t>
  </si>
  <si>
    <t>Dositejeva 55</t>
  </si>
  <si>
    <t>Kruševac</t>
  </si>
  <si>
    <t>Savska 33</t>
  </si>
  <si>
    <t>RO</t>
  </si>
  <si>
    <t>Dragomiresti Vale, Ilfov</t>
  </si>
  <si>
    <t>Bucharest West Park, Strada D</t>
  </si>
  <si>
    <t>PL</t>
  </si>
  <si>
    <t>Kraków</t>
  </si>
  <si>
    <t>30-740</t>
  </si>
  <si>
    <t>Cementowa 10</t>
  </si>
  <si>
    <t>Tarnow</t>
  </si>
  <si>
    <t>33-100</t>
  </si>
  <si>
    <t>Ul. Szklana 31</t>
  </si>
  <si>
    <t>NO</t>
  </si>
  <si>
    <t>Vestby</t>
  </si>
  <si>
    <t>Treveien 9</t>
  </si>
  <si>
    <t>IT</t>
  </si>
  <si>
    <t>SERIATE</t>
  </si>
  <si>
    <t>Cascina Bruciata 7</t>
  </si>
  <si>
    <t>APRILIA</t>
  </si>
  <si>
    <t>S.S. 148 (Pontina) km. 44,400</t>
  </si>
  <si>
    <t>S.PIETRO MOSEZZO</t>
  </si>
  <si>
    <t>VIA DELL'INDUSTRIA  N.2</t>
  </si>
  <si>
    <t>GR</t>
  </si>
  <si>
    <t>ELEFSINA – ATTICA</t>
  </si>
  <si>
    <t>192 00</t>
  </si>
  <si>
    <t>LEKKA ELEFSINA</t>
  </si>
  <si>
    <t>GB</t>
  </si>
  <si>
    <t>Lutterworth</t>
  </si>
  <si>
    <t>LE17 4XN</t>
  </si>
  <si>
    <t>3310 Hunter Boulevard</t>
  </si>
  <si>
    <t>FR</t>
  </si>
  <si>
    <t>ENSISHEIM</t>
  </si>
  <si>
    <t>1 RUE DU SCHORFELD</t>
  </si>
  <si>
    <t>Valence</t>
  </si>
  <si>
    <t>rue de la condamine</t>
  </si>
  <si>
    <t>BEAUNE</t>
  </si>
  <si>
    <t>RUE ANDRE GAGEY BAT A</t>
  </si>
  <si>
    <t>Amiens</t>
  </si>
  <si>
    <t>80 avenue Roger Dumoulin</t>
  </si>
  <si>
    <t>Miramas</t>
  </si>
  <si>
    <t>4 Avenue Ferdinand Magellan</t>
  </si>
  <si>
    <t>Villers-Bretonneux</t>
  </si>
  <si>
    <t>17 Rue de Demuin</t>
  </si>
  <si>
    <t>FI</t>
  </si>
  <si>
    <t>Kouvola</t>
  </si>
  <si>
    <t>Tehontie 10 C</t>
  </si>
  <si>
    <t>ES</t>
  </si>
  <si>
    <t>Alcalá de Henares (Madrid</t>
  </si>
  <si>
    <t>Calle Francisco Rabal número 3</t>
  </si>
  <si>
    <t>DE</t>
  </si>
  <si>
    <t>Gremersdorf</t>
  </si>
  <si>
    <t>Hansebeltstraße 1</t>
  </si>
  <si>
    <t>Riesa</t>
  </si>
  <si>
    <t>Paul-Greifzu-Str. 18</t>
  </si>
  <si>
    <t>Fürstenwalde</t>
  </si>
  <si>
    <t>Tränkeweg 15a</t>
  </si>
  <si>
    <t>Rodenbach</t>
  </si>
  <si>
    <t>Industriestrasse 19</t>
  </si>
  <si>
    <t>Hanau</t>
  </si>
  <si>
    <t>Industrieweg 45</t>
  </si>
  <si>
    <t>Neuhof</t>
  </si>
  <si>
    <t>Im Eichig</t>
  </si>
  <si>
    <t>Fulda</t>
  </si>
  <si>
    <t>Künzeller Str. 59</t>
  </si>
  <si>
    <t>Philippsburg</t>
  </si>
  <si>
    <t>Goodyearstrasse 1a</t>
  </si>
  <si>
    <t>CZ</t>
  </si>
  <si>
    <t>Okrouhlá – Jesenice</t>
  </si>
  <si>
    <t>350 02</t>
  </si>
  <si>
    <t>Jesenice 22</t>
  </si>
  <si>
    <t>CH</t>
  </si>
  <si>
    <t>Bülach</t>
  </si>
  <si>
    <t>Schützenmattstrasse 266</t>
  </si>
  <si>
    <t>AE</t>
  </si>
  <si>
    <t>Dubai</t>
  </si>
  <si>
    <t>Jebel Ali Freezone</t>
  </si>
  <si>
    <t>iso Country</t>
  </si>
  <si>
    <t>City</t>
  </si>
  <si>
    <t>Postal Code</t>
  </si>
  <si>
    <t>PO Box</t>
  </si>
  <si>
    <t>street address</t>
  </si>
  <si>
    <t>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</si>
</sst>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Barlow"/>
      <family val="2"/>
    </font>
    <font>
      <b/>
      <sz val="11"/>
      <color theme="1"/>
      <name val="Segoe UI Historic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1" fillId="0" borderId="0" xfId="1"/>
    <xf numFmtId="0" fontId="2" fillId="2" borderId="1" xfId="1" applyFont="1" applyFill="1" applyBorder="1"/>
  </cellXfs>
  <cellStyles count="2">
    <cellStyle name="Normal" xfId="0" builtinId="0"/>
    <cellStyle name="Normal 2" xfId="1" xr:uid="{93CCA82B-07D8-4A2E-B191-B1596055EE4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838B4-3E2C-44B8-A337-9CD15F3FD2E4}">
  <dimension ref="A1:FI25"/>
  <sheetViews>
    <sheetView tabSelected="1" workbookViewId="0">
      <selection activeCell="A2" sqref="A2"/>
    </sheetView>
  </sheetViews>
  <sheetFormatPr defaultRowHeight="14.4" x14ac:dyDescent="0.3"/>
  <sheetData>
    <row r="1" spans="1:165" x14ac:dyDescent="0.3">
      <c r="B1" t="s">
        <v>0</v>
      </c>
      <c r="AQ1" t="s">
        <v>1</v>
      </c>
      <c r="CF1" t="s">
        <v>2</v>
      </c>
      <c r="DU1" t="s">
        <v>3</v>
      </c>
    </row>
    <row r="2" spans="1:165" x14ac:dyDescent="0.3">
      <c r="A2" t="s">
        <v>4</v>
      </c>
      <c r="B2" t="s">
        <v>5</v>
      </c>
      <c r="C2" t="s">
        <v>6</v>
      </c>
      <c r="D2" t="s">
        <v>7</v>
      </c>
      <c r="E2" t="s">
        <v>8</v>
      </c>
      <c r="F2" t="s">
        <v>9</v>
      </c>
      <c r="G2" t="s">
        <v>10</v>
      </c>
      <c r="H2" t="s">
        <v>11</v>
      </c>
      <c r="I2" t="s">
        <v>12</v>
      </c>
      <c r="J2" t="s">
        <v>13</v>
      </c>
      <c r="K2" t="s">
        <v>14</v>
      </c>
      <c r="L2" t="s">
        <v>15</v>
      </c>
      <c r="M2" t="s">
        <v>16</v>
      </c>
      <c r="N2" t="s">
        <v>17</v>
      </c>
      <c r="O2" t="s">
        <v>18</v>
      </c>
      <c r="P2" t="s">
        <v>19</v>
      </c>
      <c r="Q2" t="s">
        <v>20</v>
      </c>
      <c r="R2" t="s">
        <v>21</v>
      </c>
      <c r="S2" t="s">
        <v>22</v>
      </c>
      <c r="T2" t="s">
        <v>23</v>
      </c>
      <c r="U2" t="s">
        <v>24</v>
      </c>
      <c r="V2" t="s">
        <v>25</v>
      </c>
      <c r="W2" t="s">
        <v>26</v>
      </c>
      <c r="X2" t="s">
        <v>27</v>
      </c>
      <c r="Y2" t="s">
        <v>28</v>
      </c>
      <c r="Z2" t="s">
        <v>29</v>
      </c>
      <c r="AA2" t="s">
        <v>30</v>
      </c>
      <c r="AB2" t="s">
        <v>31</v>
      </c>
      <c r="AC2" t="s">
        <v>32</v>
      </c>
      <c r="AD2" t="s">
        <v>33</v>
      </c>
      <c r="AE2" t="s">
        <v>34</v>
      </c>
      <c r="AF2" t="s">
        <v>35</v>
      </c>
      <c r="AG2" t="s">
        <v>36</v>
      </c>
      <c r="AH2" t="s">
        <v>37</v>
      </c>
      <c r="AI2" t="s">
        <v>38</v>
      </c>
      <c r="AJ2" t="s">
        <v>39</v>
      </c>
      <c r="AK2" t="s">
        <v>40</v>
      </c>
      <c r="AL2" t="s">
        <v>41</v>
      </c>
      <c r="AM2" t="s">
        <v>42</v>
      </c>
      <c r="AN2" t="s">
        <v>43</v>
      </c>
      <c r="AO2" t="s">
        <v>44</v>
      </c>
      <c r="AP2" t="s">
        <v>45</v>
      </c>
      <c r="AQ2" t="s">
        <v>5</v>
      </c>
      <c r="AR2" t="s">
        <v>6</v>
      </c>
      <c r="AS2" t="s">
        <v>7</v>
      </c>
      <c r="AT2" t="s">
        <v>8</v>
      </c>
      <c r="AU2" t="s">
        <v>9</v>
      </c>
      <c r="AV2" t="s">
        <v>10</v>
      </c>
      <c r="AW2" t="s">
        <v>11</v>
      </c>
      <c r="AX2" t="s">
        <v>12</v>
      </c>
      <c r="AY2" t="s">
        <v>13</v>
      </c>
      <c r="AZ2" t="s">
        <v>14</v>
      </c>
      <c r="BA2" t="s">
        <v>15</v>
      </c>
      <c r="BB2" t="s">
        <v>16</v>
      </c>
      <c r="BC2" t="s">
        <v>17</v>
      </c>
      <c r="BD2" t="s">
        <v>18</v>
      </c>
      <c r="BE2" t="s">
        <v>19</v>
      </c>
      <c r="BF2" t="s">
        <v>20</v>
      </c>
      <c r="BG2" t="s">
        <v>21</v>
      </c>
      <c r="BH2" t="s">
        <v>22</v>
      </c>
      <c r="BI2" t="s">
        <v>23</v>
      </c>
      <c r="BJ2" t="s">
        <v>24</v>
      </c>
      <c r="BK2" t="s">
        <v>25</v>
      </c>
      <c r="BL2" t="s">
        <v>26</v>
      </c>
      <c r="BM2" t="s">
        <v>27</v>
      </c>
      <c r="BN2" t="s">
        <v>28</v>
      </c>
      <c r="BO2" t="s">
        <v>29</v>
      </c>
      <c r="BP2" t="s">
        <v>30</v>
      </c>
      <c r="BQ2" t="s">
        <v>31</v>
      </c>
      <c r="BR2" t="s">
        <v>32</v>
      </c>
      <c r="BS2" t="s">
        <v>33</v>
      </c>
      <c r="BT2" t="s">
        <v>34</v>
      </c>
      <c r="BU2" t="s">
        <v>35</v>
      </c>
      <c r="BV2" t="s">
        <v>36</v>
      </c>
      <c r="BW2" t="s">
        <v>37</v>
      </c>
      <c r="BX2" t="s">
        <v>38</v>
      </c>
      <c r="BY2" t="s">
        <v>39</v>
      </c>
      <c r="BZ2" t="s">
        <v>40</v>
      </c>
      <c r="CA2" t="s">
        <v>41</v>
      </c>
      <c r="CB2" t="s">
        <v>42</v>
      </c>
      <c r="CC2" t="s">
        <v>43</v>
      </c>
      <c r="CD2" t="s">
        <v>44</v>
      </c>
      <c r="CE2" t="s">
        <v>45</v>
      </c>
      <c r="CF2" t="s">
        <v>5</v>
      </c>
      <c r="CG2" t="s">
        <v>6</v>
      </c>
      <c r="CH2" t="s">
        <v>7</v>
      </c>
      <c r="CI2" t="s">
        <v>8</v>
      </c>
      <c r="CJ2" t="s">
        <v>9</v>
      </c>
      <c r="CK2" t="s">
        <v>10</v>
      </c>
      <c r="CL2" t="s">
        <v>11</v>
      </c>
      <c r="CM2" t="s">
        <v>12</v>
      </c>
      <c r="CN2" t="s">
        <v>13</v>
      </c>
      <c r="CO2" t="s">
        <v>14</v>
      </c>
      <c r="CP2" t="s">
        <v>15</v>
      </c>
      <c r="CQ2" t="s">
        <v>16</v>
      </c>
      <c r="CR2" t="s">
        <v>17</v>
      </c>
      <c r="CS2" t="s">
        <v>18</v>
      </c>
      <c r="CT2" t="s">
        <v>19</v>
      </c>
      <c r="CU2" t="s">
        <v>20</v>
      </c>
      <c r="CV2" t="s">
        <v>21</v>
      </c>
      <c r="CW2" t="s">
        <v>22</v>
      </c>
      <c r="CX2" t="s">
        <v>23</v>
      </c>
      <c r="CY2" t="s">
        <v>24</v>
      </c>
      <c r="CZ2" t="s">
        <v>25</v>
      </c>
      <c r="DA2" t="s">
        <v>26</v>
      </c>
      <c r="DB2" t="s">
        <v>27</v>
      </c>
      <c r="DC2" t="s">
        <v>28</v>
      </c>
      <c r="DD2" t="s">
        <v>29</v>
      </c>
      <c r="DE2" t="s">
        <v>30</v>
      </c>
      <c r="DF2" t="s">
        <v>31</v>
      </c>
      <c r="DG2" t="s">
        <v>32</v>
      </c>
      <c r="DH2" t="s">
        <v>33</v>
      </c>
      <c r="DI2" t="s">
        <v>34</v>
      </c>
      <c r="DJ2" t="s">
        <v>35</v>
      </c>
      <c r="DK2" t="s">
        <v>36</v>
      </c>
      <c r="DL2" t="s">
        <v>37</v>
      </c>
      <c r="DM2" t="s">
        <v>38</v>
      </c>
      <c r="DN2" t="s">
        <v>39</v>
      </c>
      <c r="DO2" t="s">
        <v>40</v>
      </c>
      <c r="DP2" t="s">
        <v>41</v>
      </c>
      <c r="DQ2" t="s">
        <v>42</v>
      </c>
      <c r="DR2" t="s">
        <v>43</v>
      </c>
      <c r="DS2" t="s">
        <v>44</v>
      </c>
      <c r="DT2" t="s">
        <v>45</v>
      </c>
      <c r="DU2" t="s">
        <v>5</v>
      </c>
      <c r="DV2" t="s">
        <v>6</v>
      </c>
      <c r="DW2" t="s">
        <v>7</v>
      </c>
      <c r="DX2" t="s">
        <v>8</v>
      </c>
      <c r="DY2" t="s">
        <v>9</v>
      </c>
      <c r="DZ2" t="s">
        <v>10</v>
      </c>
      <c r="EA2" t="s">
        <v>11</v>
      </c>
      <c r="EB2" t="s">
        <v>12</v>
      </c>
      <c r="EC2" t="s">
        <v>13</v>
      </c>
      <c r="ED2" t="s">
        <v>14</v>
      </c>
      <c r="EE2" t="s">
        <v>15</v>
      </c>
      <c r="EF2" t="s">
        <v>16</v>
      </c>
      <c r="EG2" t="s">
        <v>17</v>
      </c>
      <c r="EH2" t="s">
        <v>18</v>
      </c>
      <c r="EI2" t="s">
        <v>19</v>
      </c>
      <c r="EJ2" t="s">
        <v>20</v>
      </c>
      <c r="EK2" t="s">
        <v>21</v>
      </c>
      <c r="EL2" t="s">
        <v>22</v>
      </c>
      <c r="EM2" t="s">
        <v>23</v>
      </c>
      <c r="EN2" t="s">
        <v>24</v>
      </c>
      <c r="EO2" t="s">
        <v>25</v>
      </c>
      <c r="EP2" t="s">
        <v>26</v>
      </c>
      <c r="EQ2" t="s">
        <v>27</v>
      </c>
      <c r="ER2" t="s">
        <v>28</v>
      </c>
      <c r="ES2" t="s">
        <v>29</v>
      </c>
      <c r="ET2" t="s">
        <v>30</v>
      </c>
      <c r="EU2" t="s">
        <v>31</v>
      </c>
      <c r="EV2" t="s">
        <v>32</v>
      </c>
      <c r="EW2" t="s">
        <v>33</v>
      </c>
      <c r="EX2" t="s">
        <v>34</v>
      </c>
      <c r="EY2" t="s">
        <v>35</v>
      </c>
      <c r="EZ2" t="s">
        <v>36</v>
      </c>
      <c r="FA2" t="s">
        <v>37</v>
      </c>
      <c r="FB2" t="s">
        <v>38</v>
      </c>
      <c r="FC2" t="s">
        <v>39</v>
      </c>
      <c r="FD2" t="s">
        <v>40</v>
      </c>
      <c r="FE2" t="s">
        <v>41</v>
      </c>
      <c r="FF2" t="s">
        <v>42</v>
      </c>
      <c r="FG2" t="s">
        <v>43</v>
      </c>
      <c r="FH2" t="s">
        <v>44</v>
      </c>
      <c r="FI2" t="s">
        <v>45</v>
      </c>
    </row>
    <row r="3" spans="1:165" x14ac:dyDescent="0.3">
      <c r="A3" t="s">
        <v>46</v>
      </c>
      <c r="I3">
        <v>0</v>
      </c>
      <c r="K3">
        <v>0</v>
      </c>
      <c r="L3">
        <v>0</v>
      </c>
      <c r="M3">
        <v>0</v>
      </c>
      <c r="S3">
        <v>1480</v>
      </c>
      <c r="AC3">
        <v>0</v>
      </c>
      <c r="AF3">
        <v>0</v>
      </c>
      <c r="AG3">
        <v>0</v>
      </c>
      <c r="AI3">
        <v>1519784</v>
      </c>
      <c r="AJ3">
        <v>0</v>
      </c>
      <c r="AX3">
        <v>0</v>
      </c>
      <c r="AZ3">
        <v>0</v>
      </c>
      <c r="BA3">
        <v>0</v>
      </c>
      <c r="BB3">
        <v>0</v>
      </c>
      <c r="BH3">
        <v>0</v>
      </c>
      <c r="BR3">
        <v>0</v>
      </c>
      <c r="BU3">
        <v>0</v>
      </c>
      <c r="BV3">
        <v>0</v>
      </c>
      <c r="BX3">
        <v>0</v>
      </c>
      <c r="BY3">
        <v>0</v>
      </c>
      <c r="CM3">
        <v>0</v>
      </c>
      <c r="CO3">
        <v>0</v>
      </c>
      <c r="CP3">
        <v>0</v>
      </c>
      <c r="CQ3">
        <v>0</v>
      </c>
      <c r="CW3">
        <v>6912</v>
      </c>
      <c r="DG3">
        <v>0</v>
      </c>
      <c r="DJ3">
        <v>0</v>
      </c>
      <c r="DK3">
        <v>0</v>
      </c>
      <c r="DM3">
        <v>177254</v>
      </c>
      <c r="DN3">
        <v>0</v>
      </c>
      <c r="EB3">
        <v>22</v>
      </c>
      <c r="ED3">
        <v>38283</v>
      </c>
      <c r="EE3">
        <v>13843</v>
      </c>
      <c r="EF3">
        <v>74831</v>
      </c>
      <c r="EL3">
        <v>36831</v>
      </c>
      <c r="EV3">
        <v>635172</v>
      </c>
      <c r="EY3">
        <v>130</v>
      </c>
      <c r="EZ3">
        <v>38660</v>
      </c>
      <c r="FB3">
        <v>565310</v>
      </c>
      <c r="FC3">
        <v>2334</v>
      </c>
    </row>
    <row r="4" spans="1:165" x14ac:dyDescent="0.3">
      <c r="A4" t="s">
        <v>47</v>
      </c>
      <c r="B4">
        <v>0</v>
      </c>
      <c r="E4">
        <v>0</v>
      </c>
      <c r="S4">
        <v>1215</v>
      </c>
      <c r="AI4">
        <v>6294</v>
      </c>
      <c r="AQ4">
        <v>0</v>
      </c>
      <c r="AT4">
        <v>748098</v>
      </c>
      <c r="BH4">
        <v>0</v>
      </c>
      <c r="BX4">
        <v>0</v>
      </c>
      <c r="CF4">
        <v>0</v>
      </c>
      <c r="CI4">
        <v>155956</v>
      </c>
      <c r="CW4">
        <v>4045</v>
      </c>
      <c r="DM4">
        <v>0</v>
      </c>
      <c r="DU4">
        <v>0</v>
      </c>
      <c r="DX4">
        <v>0</v>
      </c>
      <c r="EL4">
        <v>0</v>
      </c>
      <c r="FB4">
        <v>6300</v>
      </c>
    </row>
    <row r="5" spans="1:165" x14ac:dyDescent="0.3">
      <c r="A5" t="s">
        <v>48</v>
      </c>
      <c r="B5">
        <v>0</v>
      </c>
      <c r="G5">
        <v>0</v>
      </c>
      <c r="I5">
        <v>0</v>
      </c>
      <c r="K5">
        <v>0</v>
      </c>
      <c r="L5">
        <v>0</v>
      </c>
      <c r="M5">
        <v>0</v>
      </c>
      <c r="S5">
        <v>1358</v>
      </c>
      <c r="AC5">
        <v>7618</v>
      </c>
      <c r="AG5">
        <v>0</v>
      </c>
      <c r="AI5">
        <v>0</v>
      </c>
      <c r="AJ5">
        <v>0</v>
      </c>
      <c r="AN5">
        <v>0</v>
      </c>
      <c r="AQ5">
        <v>0</v>
      </c>
      <c r="AV5">
        <v>0</v>
      </c>
      <c r="AX5">
        <v>0</v>
      </c>
      <c r="AZ5">
        <v>0</v>
      </c>
      <c r="BA5">
        <v>0</v>
      </c>
      <c r="BB5">
        <v>0</v>
      </c>
      <c r="BH5">
        <v>0</v>
      </c>
      <c r="BR5">
        <v>0</v>
      </c>
      <c r="BV5">
        <v>0</v>
      </c>
      <c r="BX5">
        <v>0</v>
      </c>
      <c r="BY5">
        <v>0</v>
      </c>
      <c r="CC5">
        <v>0</v>
      </c>
      <c r="CF5">
        <v>0</v>
      </c>
      <c r="CK5">
        <v>0</v>
      </c>
      <c r="CM5">
        <v>0</v>
      </c>
      <c r="CO5">
        <v>0</v>
      </c>
      <c r="CP5">
        <v>0</v>
      </c>
      <c r="CQ5">
        <v>0</v>
      </c>
      <c r="CW5">
        <v>11946</v>
      </c>
      <c r="DG5">
        <v>128480</v>
      </c>
      <c r="DK5">
        <v>0</v>
      </c>
      <c r="DM5">
        <v>0</v>
      </c>
      <c r="DN5">
        <v>0</v>
      </c>
      <c r="DR5">
        <v>0</v>
      </c>
      <c r="DU5">
        <v>0</v>
      </c>
      <c r="DZ5">
        <v>2</v>
      </c>
      <c r="EB5">
        <v>46</v>
      </c>
      <c r="ED5">
        <v>902</v>
      </c>
      <c r="EE5">
        <v>364</v>
      </c>
      <c r="EF5">
        <v>1772</v>
      </c>
      <c r="EL5">
        <v>1526</v>
      </c>
      <c r="EV5">
        <v>4510</v>
      </c>
      <c r="EZ5">
        <v>468</v>
      </c>
      <c r="FB5">
        <v>2052</v>
      </c>
      <c r="FC5">
        <v>328</v>
      </c>
      <c r="FG5">
        <v>0</v>
      </c>
    </row>
    <row r="6" spans="1:165" x14ac:dyDescent="0.3">
      <c r="A6" t="s">
        <v>49</v>
      </c>
      <c r="K6">
        <v>0</v>
      </c>
      <c r="L6">
        <v>0</v>
      </c>
      <c r="M6">
        <v>0</v>
      </c>
      <c r="S6">
        <v>1024574</v>
      </c>
      <c r="AC6">
        <v>0</v>
      </c>
      <c r="AG6">
        <v>0</v>
      </c>
      <c r="AI6">
        <v>0</v>
      </c>
      <c r="AZ6">
        <v>0</v>
      </c>
      <c r="BA6">
        <v>0</v>
      </c>
      <c r="BB6">
        <v>0</v>
      </c>
      <c r="BH6">
        <v>0</v>
      </c>
      <c r="BR6">
        <v>0</v>
      </c>
      <c r="BV6">
        <v>0</v>
      </c>
      <c r="BX6">
        <v>0</v>
      </c>
      <c r="CO6">
        <v>0</v>
      </c>
      <c r="CP6">
        <v>0</v>
      </c>
      <c r="CQ6">
        <v>0</v>
      </c>
      <c r="CW6">
        <v>176700</v>
      </c>
      <c r="DG6">
        <v>50828</v>
      </c>
      <c r="DK6">
        <v>0</v>
      </c>
      <c r="DM6">
        <v>0</v>
      </c>
      <c r="ED6">
        <v>122192</v>
      </c>
      <c r="EE6">
        <v>10286</v>
      </c>
      <c r="EF6">
        <v>95474</v>
      </c>
      <c r="EL6">
        <v>110874</v>
      </c>
      <c r="EV6">
        <v>219234</v>
      </c>
      <c r="EZ6">
        <v>88414</v>
      </c>
      <c r="FB6">
        <v>186720</v>
      </c>
    </row>
    <row r="7" spans="1:165" x14ac:dyDescent="0.3">
      <c r="A7" t="s">
        <v>50</v>
      </c>
      <c r="K7">
        <v>0</v>
      </c>
      <c r="L7">
        <v>0</v>
      </c>
      <c r="M7">
        <v>0</v>
      </c>
      <c r="S7">
        <v>1152</v>
      </c>
      <c r="AC7">
        <v>0</v>
      </c>
      <c r="AE7">
        <v>160628</v>
      </c>
      <c r="AF7">
        <v>0</v>
      </c>
      <c r="AG7">
        <v>0</v>
      </c>
      <c r="AI7">
        <v>0</v>
      </c>
      <c r="AZ7">
        <v>0</v>
      </c>
      <c r="BA7">
        <v>0</v>
      </c>
      <c r="BB7">
        <v>0</v>
      </c>
      <c r="BH7">
        <v>0</v>
      </c>
      <c r="BR7">
        <v>0</v>
      </c>
      <c r="BT7">
        <v>0</v>
      </c>
      <c r="BU7">
        <v>0</v>
      </c>
      <c r="BV7">
        <v>0</v>
      </c>
      <c r="BX7">
        <v>0</v>
      </c>
      <c r="CO7">
        <v>0</v>
      </c>
      <c r="CP7">
        <v>0</v>
      </c>
      <c r="CQ7">
        <v>0</v>
      </c>
      <c r="CW7">
        <v>2876</v>
      </c>
      <c r="DG7">
        <v>81004</v>
      </c>
      <c r="DI7">
        <v>0</v>
      </c>
      <c r="DJ7">
        <v>0</v>
      </c>
      <c r="DK7">
        <v>0</v>
      </c>
      <c r="DM7">
        <v>0</v>
      </c>
      <c r="ED7">
        <v>10236</v>
      </c>
      <c r="EE7">
        <v>2650</v>
      </c>
      <c r="EF7">
        <v>23698</v>
      </c>
      <c r="EL7">
        <v>25542</v>
      </c>
      <c r="EV7">
        <v>152900</v>
      </c>
      <c r="EX7">
        <v>0</v>
      </c>
      <c r="EY7">
        <v>26</v>
      </c>
      <c r="EZ7">
        <v>16732</v>
      </c>
      <c r="FB7">
        <v>63794</v>
      </c>
    </row>
    <row r="8" spans="1:165" x14ac:dyDescent="0.3">
      <c r="A8" t="s">
        <v>51</v>
      </c>
      <c r="E8">
        <v>495162</v>
      </c>
      <c r="K8">
        <v>0</v>
      </c>
      <c r="L8">
        <v>0</v>
      </c>
      <c r="M8">
        <v>0</v>
      </c>
      <c r="S8">
        <v>3935</v>
      </c>
      <c r="AC8">
        <v>0</v>
      </c>
      <c r="AI8">
        <v>0</v>
      </c>
      <c r="AJ8">
        <v>0</v>
      </c>
      <c r="AT8">
        <v>0</v>
      </c>
      <c r="AZ8">
        <v>0</v>
      </c>
      <c r="BA8">
        <v>0</v>
      </c>
      <c r="BB8">
        <v>0</v>
      </c>
      <c r="BH8">
        <v>0</v>
      </c>
      <c r="BR8">
        <v>0</v>
      </c>
      <c r="BX8">
        <v>0</v>
      </c>
      <c r="BY8">
        <v>0</v>
      </c>
      <c r="CI8">
        <v>0</v>
      </c>
      <c r="CO8">
        <v>0</v>
      </c>
      <c r="CP8">
        <v>0</v>
      </c>
      <c r="CQ8">
        <v>0</v>
      </c>
      <c r="CW8">
        <v>7589</v>
      </c>
      <c r="DG8">
        <v>4112</v>
      </c>
      <c r="DM8">
        <v>0</v>
      </c>
      <c r="DN8">
        <v>0</v>
      </c>
      <c r="DX8">
        <v>0</v>
      </c>
      <c r="ED8">
        <v>14296</v>
      </c>
      <c r="EE8">
        <v>6384</v>
      </c>
      <c r="EF8">
        <v>37646</v>
      </c>
      <c r="EL8">
        <v>19144</v>
      </c>
      <c r="EV8">
        <v>145378</v>
      </c>
      <c r="FB8">
        <v>44692</v>
      </c>
      <c r="FC8">
        <v>3772</v>
      </c>
    </row>
    <row r="9" spans="1:165" x14ac:dyDescent="0.3">
      <c r="A9" t="s">
        <v>52</v>
      </c>
      <c r="B9">
        <v>0</v>
      </c>
      <c r="E9">
        <v>0</v>
      </c>
      <c r="I9">
        <v>0</v>
      </c>
      <c r="K9">
        <v>0</v>
      </c>
      <c r="L9">
        <v>0</v>
      </c>
      <c r="M9">
        <v>0</v>
      </c>
      <c r="R9">
        <v>0</v>
      </c>
      <c r="S9">
        <v>17734</v>
      </c>
      <c r="T9">
        <v>227385</v>
      </c>
      <c r="U9">
        <v>125557</v>
      </c>
      <c r="V9">
        <v>163533</v>
      </c>
      <c r="AC9">
        <v>0</v>
      </c>
      <c r="AF9">
        <v>0</v>
      </c>
      <c r="AG9">
        <v>0</v>
      </c>
      <c r="AI9">
        <v>0</v>
      </c>
      <c r="AJ9">
        <v>0</v>
      </c>
      <c r="AN9">
        <v>0</v>
      </c>
      <c r="AQ9">
        <v>0</v>
      </c>
      <c r="AT9">
        <v>0</v>
      </c>
      <c r="AX9">
        <v>0</v>
      </c>
      <c r="AZ9">
        <v>0</v>
      </c>
      <c r="BA9">
        <v>0</v>
      </c>
      <c r="BB9">
        <v>0</v>
      </c>
      <c r="BG9">
        <v>1051662</v>
      </c>
      <c r="BH9">
        <v>1434442</v>
      </c>
      <c r="BI9">
        <v>0</v>
      </c>
      <c r="BJ9">
        <v>0</v>
      </c>
      <c r="BK9">
        <v>0</v>
      </c>
      <c r="BR9">
        <v>0</v>
      </c>
      <c r="BU9">
        <v>0</v>
      </c>
      <c r="BV9">
        <v>0</v>
      </c>
      <c r="BX9">
        <v>0</v>
      </c>
      <c r="BY9">
        <v>0</v>
      </c>
      <c r="CC9">
        <v>0</v>
      </c>
      <c r="CF9">
        <v>0</v>
      </c>
      <c r="CI9">
        <v>14447</v>
      </c>
      <c r="CM9">
        <v>0</v>
      </c>
      <c r="CO9">
        <v>0</v>
      </c>
      <c r="CP9">
        <v>0</v>
      </c>
      <c r="CQ9">
        <v>0</v>
      </c>
      <c r="CV9">
        <v>0</v>
      </c>
      <c r="CW9">
        <v>811399</v>
      </c>
      <c r="CX9">
        <v>0</v>
      </c>
      <c r="CY9">
        <v>0</v>
      </c>
      <c r="CZ9">
        <v>0</v>
      </c>
      <c r="DG9">
        <v>0</v>
      </c>
      <c r="DJ9">
        <v>0</v>
      </c>
      <c r="DK9">
        <v>0</v>
      </c>
      <c r="DM9">
        <v>0</v>
      </c>
      <c r="DN9">
        <v>0</v>
      </c>
      <c r="DR9">
        <v>0</v>
      </c>
      <c r="DU9">
        <v>0</v>
      </c>
      <c r="DX9">
        <v>0</v>
      </c>
      <c r="EB9">
        <v>6692</v>
      </c>
      <c r="ED9">
        <v>129479</v>
      </c>
      <c r="EE9">
        <v>8275</v>
      </c>
      <c r="EF9">
        <v>93756</v>
      </c>
      <c r="EK9">
        <v>0</v>
      </c>
      <c r="EL9">
        <v>120914</v>
      </c>
      <c r="EM9">
        <v>0</v>
      </c>
      <c r="EN9">
        <v>0</v>
      </c>
      <c r="EO9">
        <v>0</v>
      </c>
      <c r="EV9">
        <v>349560</v>
      </c>
      <c r="EY9">
        <v>0</v>
      </c>
      <c r="EZ9">
        <v>113604</v>
      </c>
      <c r="FB9">
        <v>229315</v>
      </c>
      <c r="FC9">
        <v>8240</v>
      </c>
      <c r="FG9">
        <v>0</v>
      </c>
    </row>
    <row r="10" spans="1:165" x14ac:dyDescent="0.3">
      <c r="A10" t="s">
        <v>53</v>
      </c>
      <c r="B10">
        <v>0</v>
      </c>
      <c r="C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S10">
        <v>2233</v>
      </c>
      <c r="AC10">
        <v>0</v>
      </c>
      <c r="AF10">
        <v>0</v>
      </c>
      <c r="AG10">
        <v>0</v>
      </c>
      <c r="AI10">
        <v>0</v>
      </c>
      <c r="AJ10">
        <v>0</v>
      </c>
      <c r="AN10">
        <v>0</v>
      </c>
      <c r="AQ10">
        <v>0</v>
      </c>
      <c r="AR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H10">
        <v>0</v>
      </c>
      <c r="BR10">
        <v>0</v>
      </c>
      <c r="BU10">
        <v>0</v>
      </c>
      <c r="BV10">
        <v>0</v>
      </c>
      <c r="BX10">
        <v>0</v>
      </c>
      <c r="BY10">
        <v>0</v>
      </c>
      <c r="CC10">
        <v>0</v>
      </c>
      <c r="CF10">
        <v>0</v>
      </c>
      <c r="CG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W10">
        <v>38555</v>
      </c>
      <c r="DG10">
        <v>0</v>
      </c>
      <c r="DJ10">
        <v>0</v>
      </c>
      <c r="DK10">
        <v>0</v>
      </c>
      <c r="DM10">
        <v>0</v>
      </c>
      <c r="DN10">
        <v>0</v>
      </c>
      <c r="DR10">
        <v>0</v>
      </c>
      <c r="DU10">
        <v>0</v>
      </c>
      <c r="DV10">
        <v>201362</v>
      </c>
      <c r="EA10">
        <v>1016</v>
      </c>
      <c r="EB10">
        <v>32532</v>
      </c>
      <c r="EC10">
        <v>11648</v>
      </c>
      <c r="ED10">
        <v>204064</v>
      </c>
      <c r="EE10">
        <v>86700</v>
      </c>
      <c r="EF10">
        <v>180374</v>
      </c>
      <c r="EL10">
        <v>105852</v>
      </c>
      <c r="EV10">
        <v>288224</v>
      </c>
      <c r="EY10">
        <v>210</v>
      </c>
      <c r="EZ10">
        <v>25232</v>
      </c>
      <c r="FB10">
        <v>240190</v>
      </c>
      <c r="FC10">
        <v>74306</v>
      </c>
      <c r="FG10">
        <v>20</v>
      </c>
    </row>
    <row r="11" spans="1:165" x14ac:dyDescent="0.3">
      <c r="A11" t="s">
        <v>54</v>
      </c>
      <c r="B11">
        <v>0</v>
      </c>
      <c r="E11">
        <v>5308234</v>
      </c>
      <c r="F11">
        <v>158240</v>
      </c>
      <c r="I11">
        <v>0</v>
      </c>
      <c r="K11">
        <v>0</v>
      </c>
      <c r="L11">
        <v>0</v>
      </c>
      <c r="M11">
        <v>0</v>
      </c>
      <c r="N11">
        <v>180953</v>
      </c>
      <c r="S11">
        <v>18536</v>
      </c>
      <c r="AC11">
        <v>0</v>
      </c>
      <c r="AG11">
        <v>0</v>
      </c>
      <c r="AI11">
        <v>0</v>
      </c>
      <c r="AJ11">
        <v>0</v>
      </c>
      <c r="AQ11">
        <v>0</v>
      </c>
      <c r="AT11">
        <v>0</v>
      </c>
      <c r="AU11">
        <v>0</v>
      </c>
      <c r="AX11">
        <v>0</v>
      </c>
      <c r="AZ11">
        <v>0</v>
      </c>
      <c r="BA11">
        <v>0</v>
      </c>
      <c r="BB11">
        <v>0</v>
      </c>
      <c r="BC11">
        <v>0</v>
      </c>
      <c r="BH11">
        <v>0</v>
      </c>
      <c r="BR11">
        <v>0</v>
      </c>
      <c r="BV11">
        <v>0</v>
      </c>
      <c r="BX11">
        <v>0</v>
      </c>
      <c r="BY11">
        <v>0</v>
      </c>
      <c r="CF11">
        <v>0</v>
      </c>
      <c r="CI11">
        <v>162626</v>
      </c>
      <c r="CJ11">
        <v>0</v>
      </c>
      <c r="CM11">
        <v>0</v>
      </c>
      <c r="CO11">
        <v>0</v>
      </c>
      <c r="CP11">
        <v>0</v>
      </c>
      <c r="CQ11">
        <v>0</v>
      </c>
      <c r="CR11">
        <v>0</v>
      </c>
      <c r="CW11">
        <v>47434</v>
      </c>
      <c r="DG11">
        <v>0</v>
      </c>
      <c r="DK11">
        <v>0</v>
      </c>
      <c r="DM11">
        <v>0</v>
      </c>
      <c r="DN11">
        <v>0</v>
      </c>
      <c r="DU11">
        <v>584</v>
      </c>
      <c r="DX11">
        <v>0</v>
      </c>
      <c r="DY11">
        <v>0</v>
      </c>
      <c r="EB11">
        <v>27313</v>
      </c>
      <c r="ED11">
        <v>562217</v>
      </c>
      <c r="EE11">
        <v>207520</v>
      </c>
      <c r="EF11">
        <v>613137</v>
      </c>
      <c r="EG11">
        <v>0</v>
      </c>
      <c r="EL11">
        <v>725621</v>
      </c>
      <c r="EV11">
        <v>1914420</v>
      </c>
      <c r="EZ11">
        <v>437064</v>
      </c>
      <c r="FB11">
        <v>1212675</v>
      </c>
      <c r="FC11">
        <v>163566</v>
      </c>
    </row>
    <row r="12" spans="1:165" x14ac:dyDescent="0.3">
      <c r="A12" t="s">
        <v>55</v>
      </c>
      <c r="L12">
        <v>0</v>
      </c>
      <c r="M12">
        <v>0</v>
      </c>
      <c r="S12">
        <v>0</v>
      </c>
      <c r="X12">
        <v>405583</v>
      </c>
      <c r="AC12">
        <v>0</v>
      </c>
      <c r="AG12">
        <v>0</v>
      </c>
      <c r="AI12">
        <v>0</v>
      </c>
      <c r="BA12">
        <v>0</v>
      </c>
      <c r="BB12">
        <v>0</v>
      </c>
      <c r="BH12">
        <v>0</v>
      </c>
      <c r="BM12">
        <v>0</v>
      </c>
      <c r="BR12">
        <v>0</v>
      </c>
      <c r="BV12">
        <v>0</v>
      </c>
      <c r="BX12">
        <v>0</v>
      </c>
      <c r="CP12">
        <v>0</v>
      </c>
      <c r="CQ12">
        <v>0</v>
      </c>
      <c r="CW12">
        <v>3202</v>
      </c>
      <c r="DB12">
        <v>0</v>
      </c>
      <c r="DG12">
        <v>0</v>
      </c>
      <c r="DK12">
        <v>0</v>
      </c>
      <c r="DM12">
        <v>86168</v>
      </c>
      <c r="EE12">
        <v>6080</v>
      </c>
      <c r="EF12">
        <v>45143</v>
      </c>
      <c r="EL12">
        <v>63797</v>
      </c>
      <c r="EQ12">
        <v>0</v>
      </c>
      <c r="EV12">
        <v>155465</v>
      </c>
      <c r="EZ12">
        <v>40106</v>
      </c>
      <c r="FB12">
        <v>80438</v>
      </c>
    </row>
    <row r="13" spans="1:165" x14ac:dyDescent="0.3">
      <c r="A13" t="s">
        <v>56</v>
      </c>
      <c r="K13">
        <v>0</v>
      </c>
      <c r="L13">
        <v>0</v>
      </c>
      <c r="M13">
        <v>0</v>
      </c>
      <c r="S13">
        <v>763</v>
      </c>
      <c r="AC13">
        <v>7394</v>
      </c>
      <c r="AI13">
        <v>0</v>
      </c>
      <c r="AJ13">
        <v>0</v>
      </c>
      <c r="AZ13">
        <v>0</v>
      </c>
      <c r="BA13">
        <v>0</v>
      </c>
      <c r="BB13">
        <v>0</v>
      </c>
      <c r="BH13">
        <v>0</v>
      </c>
      <c r="BR13">
        <v>0</v>
      </c>
      <c r="BX13">
        <v>0</v>
      </c>
      <c r="BY13">
        <v>0</v>
      </c>
      <c r="CO13">
        <v>0</v>
      </c>
      <c r="CP13">
        <v>0</v>
      </c>
      <c r="CQ13">
        <v>0</v>
      </c>
      <c r="CW13">
        <v>1601</v>
      </c>
      <c r="DG13">
        <v>135342</v>
      </c>
      <c r="DM13">
        <v>0</v>
      </c>
      <c r="DN13">
        <v>0</v>
      </c>
      <c r="ED13">
        <v>4126</v>
      </c>
      <c r="EE13">
        <v>856</v>
      </c>
      <c r="EF13">
        <v>5164</v>
      </c>
      <c r="EL13">
        <v>0</v>
      </c>
      <c r="EV13">
        <v>36678</v>
      </c>
      <c r="FB13">
        <v>8800</v>
      </c>
      <c r="FC13">
        <v>264</v>
      </c>
    </row>
    <row r="14" spans="1:165" x14ac:dyDescent="0.3">
      <c r="A14" t="s">
        <v>57</v>
      </c>
      <c r="I14">
        <v>0</v>
      </c>
      <c r="K14">
        <v>0</v>
      </c>
      <c r="L14">
        <v>0</v>
      </c>
      <c r="M14">
        <v>0</v>
      </c>
      <c r="O14">
        <v>2289140</v>
      </c>
      <c r="S14">
        <v>1180</v>
      </c>
      <c r="AC14">
        <v>0</v>
      </c>
      <c r="AG14">
        <v>0</v>
      </c>
      <c r="AI14">
        <v>0</v>
      </c>
      <c r="AJ14">
        <v>0</v>
      </c>
      <c r="AN14">
        <v>0</v>
      </c>
      <c r="AX14">
        <v>0</v>
      </c>
      <c r="AZ14">
        <v>0</v>
      </c>
      <c r="BA14">
        <v>0</v>
      </c>
      <c r="BB14">
        <v>0</v>
      </c>
      <c r="BD14">
        <v>0</v>
      </c>
      <c r="BH14">
        <v>0</v>
      </c>
      <c r="BR14">
        <v>0</v>
      </c>
      <c r="BV14">
        <v>0</v>
      </c>
      <c r="BX14">
        <v>0</v>
      </c>
      <c r="BY14">
        <v>0</v>
      </c>
      <c r="CC14">
        <v>0</v>
      </c>
      <c r="CM14">
        <v>0</v>
      </c>
      <c r="CO14">
        <v>0</v>
      </c>
      <c r="CP14">
        <v>0</v>
      </c>
      <c r="CQ14">
        <v>0</v>
      </c>
      <c r="CS14">
        <v>0</v>
      </c>
      <c r="CW14">
        <v>343750</v>
      </c>
      <c r="DG14">
        <v>61502</v>
      </c>
      <c r="DK14">
        <v>0</v>
      </c>
      <c r="DM14">
        <v>0</v>
      </c>
      <c r="DN14">
        <v>0</v>
      </c>
      <c r="DR14">
        <v>0</v>
      </c>
      <c r="EB14">
        <v>292</v>
      </c>
      <c r="ED14">
        <v>31466</v>
      </c>
      <c r="EE14">
        <v>742</v>
      </c>
      <c r="EF14">
        <v>20734</v>
      </c>
      <c r="EH14">
        <v>0</v>
      </c>
      <c r="EL14">
        <v>9002</v>
      </c>
      <c r="EV14">
        <v>67208</v>
      </c>
      <c r="EZ14">
        <v>1548</v>
      </c>
      <c r="FB14">
        <v>16544</v>
      </c>
      <c r="FC14">
        <v>0</v>
      </c>
      <c r="FG14">
        <v>0</v>
      </c>
    </row>
    <row r="15" spans="1:165" x14ac:dyDescent="0.3">
      <c r="A15" t="s">
        <v>58</v>
      </c>
      <c r="B15">
        <v>0</v>
      </c>
      <c r="I15">
        <v>0</v>
      </c>
      <c r="K15">
        <v>0</v>
      </c>
      <c r="L15">
        <v>0</v>
      </c>
      <c r="M15">
        <v>0</v>
      </c>
      <c r="S15">
        <v>4582</v>
      </c>
      <c r="Y15">
        <v>628748</v>
      </c>
      <c r="Z15">
        <v>0</v>
      </c>
      <c r="AA15">
        <v>97671</v>
      </c>
      <c r="AC15">
        <v>0</v>
      </c>
      <c r="AG15">
        <v>0</v>
      </c>
      <c r="AI15">
        <v>32</v>
      </c>
      <c r="AJ15">
        <v>0</v>
      </c>
      <c r="AN15">
        <v>0</v>
      </c>
      <c r="AQ15">
        <v>0</v>
      </c>
      <c r="AX15">
        <v>0</v>
      </c>
      <c r="AZ15">
        <v>0</v>
      </c>
      <c r="BA15">
        <v>0</v>
      </c>
      <c r="BB15">
        <v>0</v>
      </c>
      <c r="BH15">
        <v>0</v>
      </c>
      <c r="BN15">
        <v>1276179</v>
      </c>
      <c r="BO15">
        <v>758456</v>
      </c>
      <c r="BP15">
        <v>0</v>
      </c>
      <c r="BR15">
        <v>0</v>
      </c>
      <c r="BV15">
        <v>0</v>
      </c>
      <c r="BX15">
        <v>0</v>
      </c>
      <c r="BY15">
        <v>0</v>
      </c>
      <c r="CC15">
        <v>0</v>
      </c>
      <c r="CF15">
        <v>0</v>
      </c>
      <c r="CM15">
        <v>0</v>
      </c>
      <c r="CO15">
        <v>0</v>
      </c>
      <c r="CP15">
        <v>0</v>
      </c>
      <c r="CQ15">
        <v>0</v>
      </c>
      <c r="CW15">
        <v>13776</v>
      </c>
      <c r="DC15">
        <v>0</v>
      </c>
      <c r="DD15">
        <v>0</v>
      </c>
      <c r="DE15">
        <v>0</v>
      </c>
      <c r="DG15">
        <v>3570</v>
      </c>
      <c r="DK15">
        <v>0</v>
      </c>
      <c r="DM15">
        <v>576215</v>
      </c>
      <c r="DN15">
        <v>0</v>
      </c>
      <c r="DR15">
        <v>0</v>
      </c>
      <c r="DU15">
        <v>0</v>
      </c>
      <c r="EB15">
        <v>459</v>
      </c>
      <c r="ED15">
        <v>11457</v>
      </c>
      <c r="EE15">
        <v>2054</v>
      </c>
      <c r="EF15">
        <v>10994</v>
      </c>
      <c r="EL15">
        <v>10386</v>
      </c>
      <c r="ER15">
        <v>0</v>
      </c>
      <c r="ES15">
        <v>0</v>
      </c>
      <c r="ET15">
        <v>0</v>
      </c>
      <c r="EV15">
        <v>66898</v>
      </c>
      <c r="EZ15">
        <v>8614</v>
      </c>
      <c r="FB15">
        <v>18430</v>
      </c>
      <c r="FC15">
        <v>0</v>
      </c>
      <c r="FG15">
        <v>0</v>
      </c>
    </row>
    <row r="16" spans="1:165" x14ac:dyDescent="0.3">
      <c r="A16" t="s">
        <v>59</v>
      </c>
      <c r="B16">
        <v>0</v>
      </c>
      <c r="E16">
        <v>0</v>
      </c>
      <c r="G16">
        <v>0</v>
      </c>
      <c r="I16">
        <v>0</v>
      </c>
      <c r="K16">
        <v>0</v>
      </c>
      <c r="L16">
        <v>0</v>
      </c>
      <c r="M16">
        <v>0</v>
      </c>
      <c r="P16">
        <v>155890</v>
      </c>
      <c r="S16">
        <v>3632</v>
      </c>
      <c r="AB16">
        <v>223835</v>
      </c>
      <c r="AC16">
        <v>0</v>
      </c>
      <c r="AG16">
        <v>0</v>
      </c>
      <c r="AH16">
        <v>1526110</v>
      </c>
      <c r="AI16">
        <v>0</v>
      </c>
      <c r="AJ16">
        <v>0</v>
      </c>
      <c r="AN16">
        <v>0</v>
      </c>
      <c r="AQ16">
        <v>0</v>
      </c>
      <c r="AT16">
        <v>0</v>
      </c>
      <c r="AV16">
        <v>0</v>
      </c>
      <c r="AX16">
        <v>0</v>
      </c>
      <c r="AZ16">
        <v>0</v>
      </c>
      <c r="BA16">
        <v>0</v>
      </c>
      <c r="BB16">
        <v>0</v>
      </c>
      <c r="BE16">
        <v>0</v>
      </c>
      <c r="BH16">
        <v>0</v>
      </c>
      <c r="BQ16">
        <v>0</v>
      </c>
      <c r="BR16">
        <v>0</v>
      </c>
      <c r="BV16">
        <v>0</v>
      </c>
      <c r="BW16">
        <v>0</v>
      </c>
      <c r="BX16">
        <v>0</v>
      </c>
      <c r="BY16">
        <v>0</v>
      </c>
      <c r="CC16">
        <v>0</v>
      </c>
      <c r="CF16">
        <v>0</v>
      </c>
      <c r="CI16">
        <v>188322</v>
      </c>
      <c r="CK16">
        <v>0</v>
      </c>
      <c r="CM16">
        <v>0</v>
      </c>
      <c r="CO16">
        <v>0</v>
      </c>
      <c r="CP16">
        <v>0</v>
      </c>
      <c r="CQ16">
        <v>0</v>
      </c>
      <c r="CT16">
        <v>0</v>
      </c>
      <c r="CW16">
        <v>24914</v>
      </c>
      <c r="DF16">
        <v>0</v>
      </c>
      <c r="DG16">
        <v>155973</v>
      </c>
      <c r="DK16">
        <v>0</v>
      </c>
      <c r="DL16">
        <v>0</v>
      </c>
      <c r="DM16">
        <v>0</v>
      </c>
      <c r="DN16">
        <v>0</v>
      </c>
      <c r="DR16">
        <v>0</v>
      </c>
      <c r="DU16">
        <v>0</v>
      </c>
      <c r="DX16">
        <v>0</v>
      </c>
      <c r="DZ16">
        <v>0</v>
      </c>
      <c r="EB16">
        <v>58</v>
      </c>
      <c r="ED16">
        <v>126</v>
      </c>
      <c r="EE16">
        <v>0</v>
      </c>
      <c r="EF16">
        <v>374</v>
      </c>
      <c r="EI16">
        <v>0</v>
      </c>
      <c r="EL16">
        <v>816</v>
      </c>
      <c r="EU16">
        <v>0</v>
      </c>
      <c r="EV16">
        <v>124542</v>
      </c>
      <c r="EZ16">
        <v>624</v>
      </c>
      <c r="FA16">
        <v>0</v>
      </c>
      <c r="FB16">
        <v>12490</v>
      </c>
      <c r="FC16">
        <v>772</v>
      </c>
      <c r="FG16">
        <v>0</v>
      </c>
    </row>
    <row r="17" spans="1:165" x14ac:dyDescent="0.3">
      <c r="A17" t="s">
        <v>60</v>
      </c>
      <c r="K17">
        <v>0</v>
      </c>
      <c r="L17">
        <v>0</v>
      </c>
      <c r="M17">
        <v>0</v>
      </c>
      <c r="S17">
        <v>4372</v>
      </c>
      <c r="AC17">
        <v>1515782</v>
      </c>
      <c r="AD17">
        <v>69424</v>
      </c>
      <c r="AG17">
        <v>0</v>
      </c>
      <c r="AI17">
        <v>0</v>
      </c>
      <c r="AZ17">
        <v>0</v>
      </c>
      <c r="BA17">
        <v>0</v>
      </c>
      <c r="BB17">
        <v>0</v>
      </c>
      <c r="BH17">
        <v>0</v>
      </c>
      <c r="BR17">
        <v>0</v>
      </c>
      <c r="BS17">
        <v>0</v>
      </c>
      <c r="BV17">
        <v>0</v>
      </c>
      <c r="BX17">
        <v>0</v>
      </c>
      <c r="CO17">
        <v>0</v>
      </c>
      <c r="CP17">
        <v>0</v>
      </c>
      <c r="CQ17">
        <v>0</v>
      </c>
      <c r="CW17">
        <v>14622</v>
      </c>
      <c r="DG17">
        <v>73797</v>
      </c>
      <c r="DH17">
        <v>0</v>
      </c>
      <c r="DK17">
        <v>0</v>
      </c>
      <c r="DM17">
        <v>0</v>
      </c>
      <c r="ED17">
        <v>38286</v>
      </c>
      <c r="EE17">
        <v>14770</v>
      </c>
      <c r="EF17">
        <v>130436</v>
      </c>
      <c r="EL17">
        <v>136898</v>
      </c>
      <c r="EV17">
        <v>1008289</v>
      </c>
      <c r="EW17">
        <v>0</v>
      </c>
      <c r="EZ17">
        <v>56562</v>
      </c>
      <c r="FB17">
        <v>228708</v>
      </c>
    </row>
    <row r="18" spans="1:165" x14ac:dyDescent="0.3">
      <c r="A18" t="s">
        <v>61</v>
      </c>
      <c r="K18">
        <v>0</v>
      </c>
      <c r="L18">
        <v>0</v>
      </c>
      <c r="M18">
        <v>0</v>
      </c>
      <c r="S18">
        <v>1369</v>
      </c>
      <c r="AC18">
        <v>0</v>
      </c>
      <c r="AE18">
        <v>253984</v>
      </c>
      <c r="AF18">
        <v>0</v>
      </c>
      <c r="AG18">
        <v>0</v>
      </c>
      <c r="AI18">
        <v>0</v>
      </c>
      <c r="AZ18">
        <v>0</v>
      </c>
      <c r="BA18">
        <v>0</v>
      </c>
      <c r="BB18">
        <v>0</v>
      </c>
      <c r="BH18">
        <v>0</v>
      </c>
      <c r="BR18">
        <v>0</v>
      </c>
      <c r="BT18">
        <v>0</v>
      </c>
      <c r="BU18">
        <v>0</v>
      </c>
      <c r="BV18">
        <v>0</v>
      </c>
      <c r="BX18">
        <v>0</v>
      </c>
      <c r="CO18">
        <v>0</v>
      </c>
      <c r="CP18">
        <v>0</v>
      </c>
      <c r="CQ18">
        <v>0</v>
      </c>
      <c r="CW18">
        <v>3875</v>
      </c>
      <c r="DG18">
        <v>266160</v>
      </c>
      <c r="DI18">
        <v>0</v>
      </c>
      <c r="DJ18">
        <v>0</v>
      </c>
      <c r="DK18">
        <v>0</v>
      </c>
      <c r="DM18">
        <v>0</v>
      </c>
      <c r="ED18">
        <v>14842</v>
      </c>
      <c r="EE18">
        <v>4148</v>
      </c>
      <c r="EF18">
        <v>41078</v>
      </c>
      <c r="EL18">
        <v>27174</v>
      </c>
      <c r="EV18">
        <v>351010</v>
      </c>
      <c r="EX18">
        <v>0</v>
      </c>
      <c r="EY18">
        <v>172</v>
      </c>
      <c r="EZ18">
        <v>68072</v>
      </c>
      <c r="FB18">
        <v>76686</v>
      </c>
    </row>
    <row r="19" spans="1:165" x14ac:dyDescent="0.3">
      <c r="A19" t="s">
        <v>62</v>
      </c>
      <c r="K19">
        <v>0</v>
      </c>
      <c r="L19">
        <v>0</v>
      </c>
      <c r="M19">
        <v>0</v>
      </c>
      <c r="S19">
        <v>801</v>
      </c>
      <c r="AC19">
        <v>9062</v>
      </c>
      <c r="AI19">
        <v>0</v>
      </c>
      <c r="AJ19">
        <v>0</v>
      </c>
      <c r="AZ19">
        <v>0</v>
      </c>
      <c r="BA19">
        <v>0</v>
      </c>
      <c r="BB19">
        <v>0</v>
      </c>
      <c r="BH19">
        <v>0</v>
      </c>
      <c r="BR19">
        <v>0</v>
      </c>
      <c r="BX19">
        <v>0</v>
      </c>
      <c r="BY19">
        <v>0</v>
      </c>
      <c r="CO19">
        <v>0</v>
      </c>
      <c r="CP19">
        <v>0</v>
      </c>
      <c r="CQ19">
        <v>0</v>
      </c>
      <c r="CW19">
        <v>1751</v>
      </c>
      <c r="DG19">
        <v>146892</v>
      </c>
      <c r="DM19">
        <v>0</v>
      </c>
      <c r="DN19">
        <v>0</v>
      </c>
      <c r="ED19">
        <v>5480</v>
      </c>
      <c r="EE19">
        <v>1192</v>
      </c>
      <c r="EF19">
        <v>10136</v>
      </c>
      <c r="EL19">
        <v>0</v>
      </c>
      <c r="EV19">
        <v>38098</v>
      </c>
      <c r="FB19">
        <v>7094</v>
      </c>
      <c r="FC19">
        <v>420</v>
      </c>
    </row>
    <row r="20" spans="1:165" x14ac:dyDescent="0.3">
      <c r="A20" t="s">
        <v>63</v>
      </c>
      <c r="B20">
        <v>0</v>
      </c>
      <c r="I20">
        <v>0</v>
      </c>
      <c r="K20">
        <v>0</v>
      </c>
      <c r="L20">
        <v>0</v>
      </c>
      <c r="M20">
        <v>0</v>
      </c>
      <c r="Q20">
        <v>0</v>
      </c>
      <c r="S20">
        <v>0</v>
      </c>
      <c r="AC20">
        <v>0</v>
      </c>
      <c r="AF20">
        <v>0</v>
      </c>
      <c r="AG20">
        <v>0</v>
      </c>
      <c r="AI20">
        <v>0</v>
      </c>
      <c r="AJ20">
        <v>0</v>
      </c>
      <c r="AK20">
        <v>0</v>
      </c>
      <c r="AN20">
        <v>0</v>
      </c>
      <c r="AO20">
        <v>136276</v>
      </c>
      <c r="AP20">
        <v>258872</v>
      </c>
      <c r="AQ20">
        <v>0</v>
      </c>
      <c r="AX20">
        <v>0</v>
      </c>
      <c r="AZ20">
        <v>0</v>
      </c>
      <c r="BA20">
        <v>0</v>
      </c>
      <c r="BB20">
        <v>0</v>
      </c>
      <c r="BF20">
        <v>0</v>
      </c>
      <c r="BH20">
        <v>0</v>
      </c>
      <c r="BR20">
        <v>0</v>
      </c>
      <c r="BU20">
        <v>0</v>
      </c>
      <c r="BV20">
        <v>0</v>
      </c>
      <c r="BX20">
        <v>0</v>
      </c>
      <c r="BY20">
        <v>0</v>
      </c>
      <c r="BZ20">
        <v>0</v>
      </c>
      <c r="CC20">
        <v>0</v>
      </c>
      <c r="CD20">
        <v>0</v>
      </c>
      <c r="CE20">
        <v>0</v>
      </c>
      <c r="CF20">
        <v>0</v>
      </c>
      <c r="CM20">
        <v>0</v>
      </c>
      <c r="CO20">
        <v>0</v>
      </c>
      <c r="CP20">
        <v>0</v>
      </c>
      <c r="CQ20">
        <v>0</v>
      </c>
      <c r="CU20">
        <v>0</v>
      </c>
      <c r="CW20">
        <v>0</v>
      </c>
      <c r="DG20">
        <v>0</v>
      </c>
      <c r="DJ20">
        <v>0</v>
      </c>
      <c r="DK20">
        <v>0</v>
      </c>
      <c r="DM20">
        <v>0</v>
      </c>
      <c r="DN20">
        <v>0</v>
      </c>
      <c r="DO20">
        <v>0</v>
      </c>
      <c r="DR20">
        <v>0</v>
      </c>
      <c r="DS20">
        <v>0</v>
      </c>
      <c r="DT20">
        <v>146638</v>
      </c>
      <c r="DU20">
        <v>1462</v>
      </c>
      <c r="EB20">
        <v>3996</v>
      </c>
      <c r="ED20">
        <v>7962</v>
      </c>
      <c r="EE20">
        <v>696</v>
      </c>
      <c r="EF20">
        <v>3544</v>
      </c>
      <c r="EJ20">
        <v>0</v>
      </c>
      <c r="EL20">
        <v>5028</v>
      </c>
      <c r="EV20">
        <v>2452</v>
      </c>
      <c r="EY20">
        <v>16</v>
      </c>
      <c r="EZ20">
        <v>17500</v>
      </c>
      <c r="FB20">
        <v>6796</v>
      </c>
      <c r="FC20">
        <v>286</v>
      </c>
      <c r="FD20">
        <v>0</v>
      </c>
      <c r="FG20">
        <v>45476</v>
      </c>
      <c r="FH20">
        <v>0</v>
      </c>
      <c r="FI20">
        <v>0</v>
      </c>
    </row>
    <row r="21" spans="1:165" x14ac:dyDescent="0.3">
      <c r="A21" t="s">
        <v>64</v>
      </c>
      <c r="D21">
        <v>34926</v>
      </c>
      <c r="E21">
        <v>0</v>
      </c>
      <c r="M21">
        <v>0</v>
      </c>
      <c r="S21">
        <v>1924</v>
      </c>
      <c r="AC21">
        <v>0</v>
      </c>
      <c r="AS21">
        <v>0</v>
      </c>
      <c r="AT21">
        <v>0</v>
      </c>
      <c r="BB21">
        <v>0</v>
      </c>
      <c r="BH21">
        <v>0</v>
      </c>
      <c r="BR21">
        <v>0</v>
      </c>
      <c r="CH21">
        <v>0</v>
      </c>
      <c r="CI21">
        <v>886232</v>
      </c>
      <c r="CQ21">
        <v>0</v>
      </c>
      <c r="CW21">
        <v>12162</v>
      </c>
      <c r="DG21">
        <v>0</v>
      </c>
      <c r="DW21">
        <v>0</v>
      </c>
      <c r="DX21">
        <v>0</v>
      </c>
      <c r="EF21">
        <v>388</v>
      </c>
      <c r="EL21">
        <v>0</v>
      </c>
      <c r="EV21">
        <v>4052</v>
      </c>
    </row>
    <row r="22" spans="1:165" x14ac:dyDescent="0.3">
      <c r="A22" t="s">
        <v>65</v>
      </c>
      <c r="K22">
        <v>0</v>
      </c>
      <c r="L22">
        <v>0</v>
      </c>
      <c r="M22">
        <v>0</v>
      </c>
      <c r="S22">
        <v>0</v>
      </c>
      <c r="AC22">
        <v>0</v>
      </c>
      <c r="AG22">
        <v>0</v>
      </c>
      <c r="AI22">
        <v>0</v>
      </c>
      <c r="AJ22">
        <v>0</v>
      </c>
      <c r="AK22">
        <v>1514976</v>
      </c>
      <c r="AZ22">
        <v>0</v>
      </c>
      <c r="BA22">
        <v>0</v>
      </c>
      <c r="BB22">
        <v>0</v>
      </c>
      <c r="BH22">
        <v>0</v>
      </c>
      <c r="BR22">
        <v>0</v>
      </c>
      <c r="BV22">
        <v>0</v>
      </c>
      <c r="BX22">
        <v>0</v>
      </c>
      <c r="BY22">
        <v>0</v>
      </c>
      <c r="BZ22">
        <v>0</v>
      </c>
      <c r="CO22">
        <v>0</v>
      </c>
      <c r="CP22">
        <v>0</v>
      </c>
      <c r="CQ22">
        <v>0</v>
      </c>
      <c r="CW22">
        <v>0</v>
      </c>
      <c r="DG22">
        <v>0</v>
      </c>
      <c r="DK22">
        <v>0</v>
      </c>
      <c r="DM22">
        <v>0</v>
      </c>
      <c r="DN22">
        <v>0</v>
      </c>
      <c r="DO22">
        <v>0</v>
      </c>
      <c r="ED22">
        <v>194882</v>
      </c>
      <c r="EE22">
        <v>4960</v>
      </c>
      <c r="EF22">
        <v>267116</v>
      </c>
      <c r="EL22">
        <v>328454</v>
      </c>
      <c r="EV22">
        <v>786290</v>
      </c>
      <c r="EZ22">
        <v>341290</v>
      </c>
      <c r="FB22">
        <v>653174</v>
      </c>
      <c r="FC22">
        <v>786560</v>
      </c>
      <c r="FD22">
        <v>0</v>
      </c>
    </row>
    <row r="23" spans="1:165" x14ac:dyDescent="0.3">
      <c r="A23" t="s">
        <v>66</v>
      </c>
      <c r="B23">
        <v>0</v>
      </c>
      <c r="G23">
        <v>0</v>
      </c>
      <c r="I23">
        <v>0</v>
      </c>
      <c r="K23">
        <v>0</v>
      </c>
      <c r="L23">
        <v>0</v>
      </c>
      <c r="M23">
        <v>0</v>
      </c>
      <c r="S23">
        <v>2577</v>
      </c>
      <c r="W23">
        <v>720019</v>
      </c>
      <c r="AC23">
        <v>0</v>
      </c>
      <c r="AG23">
        <v>0</v>
      </c>
      <c r="AI23">
        <v>0</v>
      </c>
      <c r="AJ23">
        <v>0</v>
      </c>
      <c r="AN23">
        <v>0</v>
      </c>
      <c r="AQ23">
        <v>0</v>
      </c>
      <c r="AV23">
        <v>0</v>
      </c>
      <c r="AX23">
        <v>0</v>
      </c>
      <c r="AZ23">
        <v>0</v>
      </c>
      <c r="BA23">
        <v>0</v>
      </c>
      <c r="BB23">
        <v>0</v>
      </c>
      <c r="BH23">
        <v>0</v>
      </c>
      <c r="BL23">
        <v>0</v>
      </c>
      <c r="BR23">
        <v>0</v>
      </c>
      <c r="BV23">
        <v>0</v>
      </c>
      <c r="BX23">
        <v>0</v>
      </c>
      <c r="BY23">
        <v>0</v>
      </c>
      <c r="CC23">
        <v>0</v>
      </c>
      <c r="CF23">
        <v>0</v>
      </c>
      <c r="CK23">
        <v>0</v>
      </c>
      <c r="CM23">
        <v>0</v>
      </c>
      <c r="CO23">
        <v>0</v>
      </c>
      <c r="CP23">
        <v>0</v>
      </c>
      <c r="CQ23">
        <v>0</v>
      </c>
      <c r="CW23">
        <v>1430891</v>
      </c>
      <c r="DA23">
        <v>0</v>
      </c>
      <c r="DG23">
        <v>0</v>
      </c>
      <c r="DK23">
        <v>0</v>
      </c>
      <c r="DM23">
        <v>0</v>
      </c>
      <c r="DN23">
        <v>0</v>
      </c>
      <c r="DR23">
        <v>0</v>
      </c>
      <c r="DU23">
        <v>270</v>
      </c>
      <c r="DZ23">
        <v>24</v>
      </c>
      <c r="EB23">
        <v>7782</v>
      </c>
      <c r="ED23">
        <v>348040</v>
      </c>
      <c r="EE23">
        <v>9580</v>
      </c>
      <c r="EF23">
        <v>259008</v>
      </c>
      <c r="EL23">
        <v>59883</v>
      </c>
      <c r="EP23">
        <v>0</v>
      </c>
      <c r="EV23">
        <v>398026</v>
      </c>
      <c r="EZ23">
        <v>33766</v>
      </c>
      <c r="FB23">
        <v>608446</v>
      </c>
      <c r="FC23">
        <v>0</v>
      </c>
      <c r="FG23">
        <v>0</v>
      </c>
    </row>
    <row r="24" spans="1:165" x14ac:dyDescent="0.3">
      <c r="A24" t="s">
        <v>67</v>
      </c>
      <c r="B24">
        <v>0</v>
      </c>
      <c r="I24">
        <v>0</v>
      </c>
      <c r="K24">
        <v>0</v>
      </c>
      <c r="L24">
        <v>0</v>
      </c>
      <c r="M24">
        <v>0</v>
      </c>
      <c r="S24">
        <v>0</v>
      </c>
      <c r="AC24">
        <v>0</v>
      </c>
      <c r="AF24">
        <v>0</v>
      </c>
      <c r="AG24">
        <v>0</v>
      </c>
      <c r="AI24">
        <v>0</v>
      </c>
      <c r="AJ24">
        <v>0</v>
      </c>
      <c r="AL24">
        <v>0</v>
      </c>
      <c r="AM24">
        <v>96484</v>
      </c>
      <c r="AN24">
        <v>0</v>
      </c>
      <c r="AQ24">
        <v>0</v>
      </c>
      <c r="AX24">
        <v>0</v>
      </c>
      <c r="AZ24">
        <v>0</v>
      </c>
      <c r="BA24">
        <v>0</v>
      </c>
      <c r="BB24">
        <v>0</v>
      </c>
      <c r="BH24">
        <v>0</v>
      </c>
      <c r="BR24">
        <v>0</v>
      </c>
      <c r="BU24">
        <v>0</v>
      </c>
      <c r="BV24">
        <v>0</v>
      </c>
      <c r="BX24">
        <v>0</v>
      </c>
      <c r="BY24">
        <v>0</v>
      </c>
      <c r="CA24">
        <v>319364</v>
      </c>
      <c r="CB24">
        <v>0</v>
      </c>
      <c r="CC24">
        <v>0</v>
      </c>
      <c r="CF24">
        <v>0</v>
      </c>
      <c r="CM24">
        <v>0</v>
      </c>
      <c r="CO24">
        <v>0</v>
      </c>
      <c r="CP24">
        <v>0</v>
      </c>
      <c r="CQ24">
        <v>0</v>
      </c>
      <c r="CW24">
        <v>4534</v>
      </c>
      <c r="DG24">
        <v>199276</v>
      </c>
      <c r="DJ24">
        <v>0</v>
      </c>
      <c r="DK24">
        <v>0</v>
      </c>
      <c r="DM24">
        <v>0</v>
      </c>
      <c r="DN24">
        <v>0</v>
      </c>
      <c r="DP24">
        <v>0</v>
      </c>
      <c r="DQ24">
        <v>0</v>
      </c>
      <c r="DR24">
        <v>0</v>
      </c>
      <c r="DU24">
        <v>0</v>
      </c>
      <c r="EB24">
        <v>0</v>
      </c>
      <c r="ED24">
        <v>0</v>
      </c>
      <c r="EE24">
        <v>0</v>
      </c>
      <c r="EF24">
        <v>0</v>
      </c>
      <c r="EL24">
        <v>0</v>
      </c>
      <c r="EV24">
        <v>0</v>
      </c>
      <c r="EY24">
        <v>0</v>
      </c>
      <c r="EZ24">
        <v>0</v>
      </c>
      <c r="FB24">
        <v>0</v>
      </c>
      <c r="FC24">
        <v>0</v>
      </c>
      <c r="FE24">
        <v>0</v>
      </c>
      <c r="FF24">
        <v>0</v>
      </c>
      <c r="FG24">
        <v>0</v>
      </c>
    </row>
    <row r="25" spans="1:165" x14ac:dyDescent="0.3">
      <c r="A25" t="s">
        <v>68</v>
      </c>
      <c r="B25">
        <v>0</v>
      </c>
      <c r="C25">
        <v>0</v>
      </c>
      <c r="D25">
        <v>34926</v>
      </c>
      <c r="E25">
        <v>5803396</v>
      </c>
      <c r="F25">
        <v>158240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180953</v>
      </c>
      <c r="O25">
        <v>2289140</v>
      </c>
      <c r="P25">
        <v>155890</v>
      </c>
      <c r="Q25">
        <v>0</v>
      </c>
      <c r="R25">
        <v>0</v>
      </c>
      <c r="S25">
        <v>1093417</v>
      </c>
      <c r="T25">
        <v>227385</v>
      </c>
      <c r="U25">
        <v>125557</v>
      </c>
      <c r="V25">
        <v>163533</v>
      </c>
      <c r="W25">
        <v>720019</v>
      </c>
      <c r="X25">
        <v>405583</v>
      </c>
      <c r="Y25">
        <v>628748</v>
      </c>
      <c r="Z25">
        <v>0</v>
      </c>
      <c r="AA25">
        <v>97671</v>
      </c>
      <c r="AB25">
        <v>223835</v>
      </c>
      <c r="AC25">
        <v>1539856</v>
      </c>
      <c r="AD25">
        <v>69424</v>
      </c>
      <c r="AE25">
        <v>414612</v>
      </c>
      <c r="AF25">
        <v>0</v>
      </c>
      <c r="AG25">
        <v>0</v>
      </c>
      <c r="AH25">
        <v>1526110</v>
      </c>
      <c r="AI25">
        <v>1526110</v>
      </c>
      <c r="AJ25">
        <v>0</v>
      </c>
      <c r="AK25">
        <v>1514976</v>
      </c>
      <c r="AL25">
        <v>0</v>
      </c>
      <c r="AM25">
        <v>96484</v>
      </c>
      <c r="AN25">
        <v>0</v>
      </c>
      <c r="AO25">
        <v>136276</v>
      </c>
      <c r="AP25">
        <v>258872</v>
      </c>
      <c r="AQ25">
        <v>0</v>
      </c>
      <c r="AR25">
        <v>0</v>
      </c>
      <c r="AS25">
        <v>0</v>
      </c>
      <c r="AT25">
        <v>748098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1051662</v>
      </c>
      <c r="BH25">
        <v>1434442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1276179</v>
      </c>
      <c r="BO25">
        <v>758456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319364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1407583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2962534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1306936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839637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146638</v>
      </c>
      <c r="DU25">
        <v>2316</v>
      </c>
      <c r="DV25">
        <v>201362</v>
      </c>
      <c r="DW25">
        <v>0</v>
      </c>
      <c r="DX25">
        <v>0</v>
      </c>
      <c r="DY25">
        <v>0</v>
      </c>
      <c r="DZ25">
        <v>26</v>
      </c>
      <c r="EA25">
        <v>1016</v>
      </c>
      <c r="EB25">
        <v>79192</v>
      </c>
      <c r="EC25">
        <v>11648</v>
      </c>
      <c r="ED25">
        <v>1738336</v>
      </c>
      <c r="EE25">
        <v>381100</v>
      </c>
      <c r="EF25">
        <v>1914803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1787742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6748406</v>
      </c>
      <c r="EW25">
        <v>0</v>
      </c>
      <c r="EX25">
        <v>0</v>
      </c>
      <c r="EY25">
        <v>554</v>
      </c>
      <c r="EZ25">
        <v>1288256</v>
      </c>
      <c r="FA25">
        <v>0</v>
      </c>
      <c r="FB25">
        <v>4268654</v>
      </c>
      <c r="FC25">
        <v>1040848</v>
      </c>
      <c r="FD25">
        <v>0</v>
      </c>
      <c r="FE25">
        <v>0</v>
      </c>
      <c r="FF25">
        <v>0</v>
      </c>
      <c r="FG25">
        <v>45496</v>
      </c>
      <c r="FH25">
        <v>0</v>
      </c>
      <c r="FI2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5CA75-FE95-4727-B804-023D9B5CEB22}">
  <dimension ref="A1:E24"/>
  <sheetViews>
    <sheetView workbookViewId="0"/>
  </sheetViews>
  <sheetFormatPr defaultRowHeight="14.4" x14ac:dyDescent="0.3"/>
  <sheetData>
    <row r="1" spans="1:5" x14ac:dyDescent="0.3">
      <c r="A1" t="s">
        <v>4</v>
      </c>
      <c r="B1" t="s">
        <v>0</v>
      </c>
      <c r="C1" t="s">
        <v>1</v>
      </c>
      <c r="D1" t="s">
        <v>2</v>
      </c>
      <c r="E1" t="s">
        <v>3</v>
      </c>
    </row>
    <row r="2" spans="1:5" x14ac:dyDescent="0.3">
      <c r="A2" t="s">
        <v>46</v>
      </c>
      <c r="B2">
        <v>1521264</v>
      </c>
      <c r="C2">
        <v>0</v>
      </c>
      <c r="D2">
        <v>184166</v>
      </c>
      <c r="E2">
        <v>1405416</v>
      </c>
    </row>
    <row r="3" spans="1:5" x14ac:dyDescent="0.3">
      <c r="A3" t="s">
        <v>47</v>
      </c>
      <c r="B3">
        <v>7509</v>
      </c>
      <c r="C3">
        <v>748098</v>
      </c>
      <c r="D3">
        <v>160001</v>
      </c>
      <c r="E3">
        <v>6300</v>
      </c>
    </row>
    <row r="4" spans="1:5" x14ac:dyDescent="0.3">
      <c r="A4" t="s">
        <v>48</v>
      </c>
      <c r="B4">
        <v>8976</v>
      </c>
      <c r="C4">
        <v>0</v>
      </c>
      <c r="D4">
        <v>140426</v>
      </c>
      <c r="E4">
        <v>11970</v>
      </c>
    </row>
    <row r="5" spans="1:5" x14ac:dyDescent="0.3">
      <c r="A5" t="s">
        <v>49</v>
      </c>
      <c r="B5">
        <v>1024574</v>
      </c>
      <c r="C5">
        <v>0</v>
      </c>
      <c r="D5">
        <v>227528</v>
      </c>
      <c r="E5">
        <v>833194</v>
      </c>
    </row>
    <row r="6" spans="1:5" x14ac:dyDescent="0.3">
      <c r="A6" t="s">
        <v>50</v>
      </c>
      <c r="B6">
        <v>161780</v>
      </c>
      <c r="C6">
        <v>0</v>
      </c>
      <c r="D6">
        <v>83880</v>
      </c>
      <c r="E6">
        <v>295578</v>
      </c>
    </row>
    <row r="7" spans="1:5" x14ac:dyDescent="0.3">
      <c r="A7" t="s">
        <v>51</v>
      </c>
      <c r="B7">
        <v>499097</v>
      </c>
      <c r="C7">
        <v>0</v>
      </c>
      <c r="D7">
        <v>11701</v>
      </c>
      <c r="E7">
        <v>271312</v>
      </c>
    </row>
    <row r="8" spans="1:5" x14ac:dyDescent="0.3">
      <c r="A8" t="s">
        <v>52</v>
      </c>
      <c r="B8">
        <v>534209</v>
      </c>
      <c r="C8">
        <v>2486104</v>
      </c>
      <c r="D8">
        <v>825846</v>
      </c>
      <c r="E8">
        <v>1059835</v>
      </c>
    </row>
    <row r="9" spans="1:5" x14ac:dyDescent="0.3">
      <c r="A9" t="s">
        <v>53</v>
      </c>
      <c r="B9">
        <v>2233</v>
      </c>
      <c r="C9">
        <v>0</v>
      </c>
      <c r="D9">
        <v>38555</v>
      </c>
      <c r="E9">
        <v>1451730</v>
      </c>
    </row>
    <row r="10" spans="1:5" x14ac:dyDescent="0.3">
      <c r="A10" t="s">
        <v>54</v>
      </c>
      <c r="B10">
        <v>5665963</v>
      </c>
      <c r="C10">
        <v>0</v>
      </c>
      <c r="D10">
        <v>210060</v>
      </c>
      <c r="E10">
        <v>5864117</v>
      </c>
    </row>
    <row r="11" spans="1:5" x14ac:dyDescent="0.3">
      <c r="A11" t="s">
        <v>55</v>
      </c>
      <c r="B11">
        <v>405583</v>
      </c>
      <c r="C11">
        <v>0</v>
      </c>
      <c r="D11">
        <v>89370</v>
      </c>
      <c r="E11">
        <v>391029</v>
      </c>
    </row>
    <row r="12" spans="1:5" x14ac:dyDescent="0.3">
      <c r="A12" t="s">
        <v>56</v>
      </c>
      <c r="B12">
        <v>8157</v>
      </c>
      <c r="C12">
        <v>0</v>
      </c>
      <c r="D12">
        <v>136943</v>
      </c>
      <c r="E12">
        <v>55888</v>
      </c>
    </row>
    <row r="13" spans="1:5" x14ac:dyDescent="0.3">
      <c r="A13" t="s">
        <v>57</v>
      </c>
      <c r="B13">
        <v>2290320</v>
      </c>
      <c r="C13">
        <v>0</v>
      </c>
      <c r="D13">
        <v>405252</v>
      </c>
      <c r="E13">
        <v>147536</v>
      </c>
    </row>
    <row r="14" spans="1:5" x14ac:dyDescent="0.3">
      <c r="A14" t="s">
        <v>58</v>
      </c>
      <c r="B14">
        <v>731033</v>
      </c>
      <c r="C14">
        <v>2034635</v>
      </c>
      <c r="D14">
        <v>593561</v>
      </c>
      <c r="E14">
        <v>129292</v>
      </c>
    </row>
    <row r="15" spans="1:5" x14ac:dyDescent="0.3">
      <c r="A15" t="s">
        <v>59</v>
      </c>
      <c r="B15">
        <v>1909467</v>
      </c>
      <c r="C15">
        <v>0</v>
      </c>
      <c r="D15">
        <v>369209</v>
      </c>
      <c r="E15">
        <v>139802</v>
      </c>
    </row>
    <row r="16" spans="1:5" x14ac:dyDescent="0.3">
      <c r="A16" t="s">
        <v>60</v>
      </c>
      <c r="B16">
        <v>1589578</v>
      </c>
      <c r="C16">
        <v>0</v>
      </c>
      <c r="D16">
        <v>88419</v>
      </c>
      <c r="E16">
        <v>1613949</v>
      </c>
    </row>
    <row r="17" spans="1:5" x14ac:dyDescent="0.3">
      <c r="A17" t="s">
        <v>61</v>
      </c>
      <c r="B17">
        <v>255353</v>
      </c>
      <c r="C17">
        <v>0</v>
      </c>
      <c r="D17">
        <v>270035</v>
      </c>
      <c r="E17">
        <v>583182</v>
      </c>
    </row>
    <row r="18" spans="1:5" x14ac:dyDescent="0.3">
      <c r="A18" t="s">
        <v>62</v>
      </c>
      <c r="B18">
        <v>9863</v>
      </c>
      <c r="C18">
        <v>0</v>
      </c>
      <c r="D18">
        <v>148643</v>
      </c>
      <c r="E18">
        <v>62420</v>
      </c>
    </row>
    <row r="19" spans="1:5" x14ac:dyDescent="0.3">
      <c r="A19" t="s">
        <v>63</v>
      </c>
      <c r="B19">
        <v>395148</v>
      </c>
      <c r="C19">
        <v>0</v>
      </c>
      <c r="D19">
        <v>146638</v>
      </c>
      <c r="E19">
        <v>95214</v>
      </c>
    </row>
    <row r="20" spans="1:5" x14ac:dyDescent="0.3">
      <c r="A20" t="s">
        <v>64</v>
      </c>
      <c r="B20">
        <v>36850</v>
      </c>
      <c r="C20">
        <v>0</v>
      </c>
      <c r="D20">
        <v>898394</v>
      </c>
      <c r="E20">
        <v>4440</v>
      </c>
    </row>
    <row r="21" spans="1:5" x14ac:dyDescent="0.3">
      <c r="A21" t="s">
        <v>65</v>
      </c>
      <c r="B21">
        <v>1514976</v>
      </c>
      <c r="C21">
        <v>0</v>
      </c>
      <c r="D21">
        <v>0</v>
      </c>
      <c r="E21">
        <v>3362726</v>
      </c>
    </row>
    <row r="22" spans="1:5" x14ac:dyDescent="0.3">
      <c r="A22" t="s">
        <v>66</v>
      </c>
      <c r="B22">
        <v>722596</v>
      </c>
      <c r="C22">
        <v>0</v>
      </c>
      <c r="D22">
        <v>1430891</v>
      </c>
      <c r="E22">
        <v>1724825</v>
      </c>
    </row>
    <row r="23" spans="1:5" x14ac:dyDescent="0.3">
      <c r="A23" t="s">
        <v>67</v>
      </c>
      <c r="B23">
        <v>96484</v>
      </c>
      <c r="C23">
        <v>319364</v>
      </c>
      <c r="D23">
        <v>203810</v>
      </c>
      <c r="E23">
        <v>0</v>
      </c>
    </row>
    <row r="24" spans="1:5" x14ac:dyDescent="0.3">
      <c r="A24" t="s">
        <v>68</v>
      </c>
      <c r="B24">
        <v>19391013</v>
      </c>
      <c r="C24">
        <v>5588201</v>
      </c>
      <c r="D24">
        <v>6663328</v>
      </c>
      <c r="E24">
        <v>19509755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F8508-FD80-4936-8937-B1459F8CEB22}">
  <dimension ref="A1:G41"/>
  <sheetViews>
    <sheetView workbookViewId="0">
      <selection activeCell="B2" sqref="B2"/>
    </sheetView>
  </sheetViews>
  <sheetFormatPr defaultRowHeight="16.2" x14ac:dyDescent="0.35"/>
  <cols>
    <col min="1" max="1" width="34.5546875" style="1" bestFit="1" customWidth="1"/>
    <col min="2" max="16384" width="8.88671875" style="1"/>
  </cols>
  <sheetData>
    <row r="1" spans="1:7" x14ac:dyDescent="0.35">
      <c r="B1" s="1" t="s">
        <v>177</v>
      </c>
      <c r="C1" s="1" t="s">
        <v>176</v>
      </c>
      <c r="D1" s="1" t="s">
        <v>175</v>
      </c>
      <c r="E1" s="1" t="s">
        <v>174</v>
      </c>
      <c r="F1" s="1" t="s">
        <v>173</v>
      </c>
      <c r="G1" s="1" t="s">
        <v>172</v>
      </c>
    </row>
    <row r="2" spans="1:7" ht="16.8" x14ac:dyDescent="0.4">
      <c r="A2" s="2" t="s">
        <v>6</v>
      </c>
      <c r="B2" s="1" t="str">
        <f>LEFT(A2,4)</f>
        <v>AE01</v>
      </c>
      <c r="C2" s="1" t="s">
        <v>171</v>
      </c>
      <c r="D2" s="1">
        <v>17041</v>
      </c>
      <c r="F2" s="1" t="s">
        <v>170</v>
      </c>
      <c r="G2" s="1" t="s">
        <v>169</v>
      </c>
    </row>
    <row r="3" spans="1:7" ht="16.8" x14ac:dyDescent="0.4">
      <c r="A3" s="2" t="s">
        <v>7</v>
      </c>
      <c r="B3" s="1" t="str">
        <f>LEFT(A3,4)</f>
        <v>CH01</v>
      </c>
      <c r="C3" s="1" t="s">
        <v>168</v>
      </c>
      <c r="E3" s="1">
        <v>8180</v>
      </c>
      <c r="F3" s="1" t="s">
        <v>167</v>
      </c>
      <c r="G3" s="1" t="s">
        <v>166</v>
      </c>
    </row>
    <row r="4" spans="1:7" ht="16.8" x14ac:dyDescent="0.4">
      <c r="A4" s="2" t="s">
        <v>8</v>
      </c>
      <c r="B4" s="1" t="str">
        <f>LEFT(A4,4)</f>
        <v>CZ02</v>
      </c>
      <c r="C4" s="1" t="s">
        <v>165</v>
      </c>
      <c r="E4" s="1" t="s">
        <v>164</v>
      </c>
      <c r="F4" s="1" t="s">
        <v>163</v>
      </c>
      <c r="G4" s="1" t="s">
        <v>162</v>
      </c>
    </row>
    <row r="5" spans="1:7" ht="16.8" x14ac:dyDescent="0.4">
      <c r="A5" s="2" t="s">
        <v>9</v>
      </c>
      <c r="B5" s="1" t="str">
        <f>LEFT(A5,4)</f>
        <v>CZ70</v>
      </c>
      <c r="C5" s="1" t="s">
        <v>165</v>
      </c>
      <c r="E5" s="1" t="s">
        <v>164</v>
      </c>
      <c r="F5" s="1" t="s">
        <v>163</v>
      </c>
      <c r="G5" s="1" t="s">
        <v>162</v>
      </c>
    </row>
    <row r="6" spans="1:7" ht="16.8" x14ac:dyDescent="0.4">
      <c r="A6" s="2" t="s">
        <v>10</v>
      </c>
      <c r="B6" s="1" t="str">
        <f>LEFT(A6,4)</f>
        <v>DE01</v>
      </c>
      <c r="C6" s="1" t="s">
        <v>161</v>
      </c>
      <c r="E6" s="1">
        <v>76661</v>
      </c>
      <c r="F6" s="1" t="s">
        <v>160</v>
      </c>
      <c r="G6" s="1" t="s">
        <v>145</v>
      </c>
    </row>
    <row r="7" spans="1:7" ht="16.8" x14ac:dyDescent="0.4">
      <c r="A7" s="2" t="s">
        <v>11</v>
      </c>
      <c r="B7" s="1" t="str">
        <f>LEFT(A7,4)</f>
        <v>DE30</v>
      </c>
      <c r="C7" s="1" t="s">
        <v>159</v>
      </c>
      <c r="E7" s="1">
        <v>36043</v>
      </c>
      <c r="F7" s="1" t="s">
        <v>158</v>
      </c>
      <c r="G7" s="1" t="s">
        <v>145</v>
      </c>
    </row>
    <row r="8" spans="1:7" ht="16.8" x14ac:dyDescent="0.4">
      <c r="A8" s="2" t="s">
        <v>12</v>
      </c>
      <c r="B8" s="1" t="str">
        <f>LEFT(A8,4)</f>
        <v>DE31</v>
      </c>
      <c r="C8" s="1" t="s">
        <v>157</v>
      </c>
      <c r="E8" s="1">
        <v>36119</v>
      </c>
      <c r="F8" s="1" t="s">
        <v>156</v>
      </c>
      <c r="G8" s="1" t="s">
        <v>145</v>
      </c>
    </row>
    <row r="9" spans="1:7" ht="16.8" x14ac:dyDescent="0.4">
      <c r="A9" s="2" t="s">
        <v>13</v>
      </c>
      <c r="B9" s="1" t="str">
        <f>LEFT(A9,4)</f>
        <v>DE51</v>
      </c>
      <c r="C9" s="1" t="s">
        <v>155</v>
      </c>
      <c r="E9" s="1">
        <v>63450</v>
      </c>
      <c r="F9" s="1" t="s">
        <v>154</v>
      </c>
      <c r="G9" s="1" t="s">
        <v>145</v>
      </c>
    </row>
    <row r="10" spans="1:7" ht="16.8" x14ac:dyDescent="0.4">
      <c r="A10" s="2" t="s">
        <v>14</v>
      </c>
      <c r="B10" s="1" t="str">
        <f>LEFT(A10,4)</f>
        <v>DE52</v>
      </c>
      <c r="C10" s="1" t="s">
        <v>153</v>
      </c>
      <c r="E10" s="1">
        <v>63517</v>
      </c>
      <c r="F10" s="1" t="s">
        <v>152</v>
      </c>
      <c r="G10" s="1" t="s">
        <v>145</v>
      </c>
    </row>
    <row r="11" spans="1:7" ht="16.8" x14ac:dyDescent="0.4">
      <c r="A11" s="2" t="s">
        <v>15</v>
      </c>
      <c r="B11" s="1" t="str">
        <f>LEFT(A11,4)</f>
        <v>DE55</v>
      </c>
      <c r="C11" s="1" t="s">
        <v>151</v>
      </c>
      <c r="E11" s="1">
        <v>15517</v>
      </c>
      <c r="F11" s="1" t="s">
        <v>150</v>
      </c>
      <c r="G11" s="1" t="s">
        <v>145</v>
      </c>
    </row>
    <row r="12" spans="1:7" ht="16.8" x14ac:dyDescent="0.4">
      <c r="A12" s="2" t="s">
        <v>16</v>
      </c>
      <c r="B12" s="1" t="str">
        <f>LEFT(A12,4)</f>
        <v>DE56</v>
      </c>
      <c r="C12" s="1" t="s">
        <v>149</v>
      </c>
      <c r="E12" s="1">
        <v>1591</v>
      </c>
      <c r="F12" s="1" t="s">
        <v>148</v>
      </c>
      <c r="G12" s="1" t="s">
        <v>145</v>
      </c>
    </row>
    <row r="13" spans="1:7" ht="16.8" x14ac:dyDescent="0.4">
      <c r="A13" s="2" t="s">
        <v>17</v>
      </c>
      <c r="B13" s="1" t="str">
        <f>LEFT(A13,4)</f>
        <v>DEV4</v>
      </c>
      <c r="C13" s="1" t="s">
        <v>147</v>
      </c>
      <c r="E13" s="1">
        <v>23754</v>
      </c>
      <c r="F13" s="1" t="s">
        <v>146</v>
      </c>
      <c r="G13" s="1" t="s">
        <v>145</v>
      </c>
    </row>
    <row r="14" spans="1:7" ht="16.8" x14ac:dyDescent="0.4">
      <c r="A14" s="2" t="s">
        <v>18</v>
      </c>
      <c r="B14" s="1" t="str">
        <f>LEFT(A14,4)</f>
        <v>ES01</v>
      </c>
      <c r="C14" s="1" t="s">
        <v>144</v>
      </c>
      <c r="E14" s="1">
        <v>28806</v>
      </c>
      <c r="F14" s="1" t="s">
        <v>143</v>
      </c>
      <c r="G14" s="1" t="s">
        <v>142</v>
      </c>
    </row>
    <row r="15" spans="1:7" ht="16.8" x14ac:dyDescent="0.4">
      <c r="A15" s="2" t="s">
        <v>19</v>
      </c>
      <c r="B15" s="1" t="str">
        <f>LEFT(A15,4)</f>
        <v>FI01</v>
      </c>
      <c r="C15" s="1" t="s">
        <v>141</v>
      </c>
      <c r="E15" s="1">
        <v>45200</v>
      </c>
      <c r="F15" s="1" t="s">
        <v>140</v>
      </c>
      <c r="G15" s="1" t="s">
        <v>139</v>
      </c>
    </row>
    <row r="16" spans="1:7" ht="16.8" x14ac:dyDescent="0.4">
      <c r="A16" s="2" t="s">
        <v>20</v>
      </c>
      <c r="B16" s="1" t="str">
        <f>LEFT(A16,4)</f>
        <v>FR03</v>
      </c>
      <c r="C16" s="1" t="s">
        <v>138</v>
      </c>
      <c r="E16" s="1">
        <v>80800</v>
      </c>
      <c r="F16" s="1" t="s">
        <v>137</v>
      </c>
      <c r="G16" s="1" t="s">
        <v>126</v>
      </c>
    </row>
    <row r="17" spans="1:7" ht="16.8" x14ac:dyDescent="0.4">
      <c r="A17" s="2" t="s">
        <v>21</v>
      </c>
      <c r="B17" s="1" t="str">
        <f>LEFT(A17,4)</f>
        <v>FR13</v>
      </c>
      <c r="C17" s="1" t="s">
        <v>136</v>
      </c>
      <c r="E17" s="1">
        <v>13140</v>
      </c>
      <c r="F17" s="1" t="s">
        <v>135</v>
      </c>
      <c r="G17" s="1" t="s">
        <v>126</v>
      </c>
    </row>
    <row r="18" spans="1:7" ht="16.8" x14ac:dyDescent="0.4">
      <c r="A18" s="2" t="s">
        <v>22</v>
      </c>
      <c r="B18" s="1" t="str">
        <f>LEFT(A18,4)</f>
        <v>FR79</v>
      </c>
      <c r="C18" s="1" t="s">
        <v>134</v>
      </c>
      <c r="E18" s="1">
        <v>80000</v>
      </c>
      <c r="F18" s="1" t="s">
        <v>133</v>
      </c>
      <c r="G18" s="1" t="s">
        <v>126</v>
      </c>
    </row>
    <row r="19" spans="1:7" ht="16.8" x14ac:dyDescent="0.4">
      <c r="A19" s="2" t="s">
        <v>23</v>
      </c>
      <c r="B19" s="1" t="str">
        <f>LEFT(A19,4)</f>
        <v>FRV1</v>
      </c>
      <c r="C19" s="1" t="s">
        <v>132</v>
      </c>
      <c r="E19" s="1">
        <v>21200</v>
      </c>
      <c r="F19" s="1" t="s">
        <v>131</v>
      </c>
      <c r="G19" s="1" t="s">
        <v>126</v>
      </c>
    </row>
    <row r="20" spans="1:7" ht="16.8" x14ac:dyDescent="0.4">
      <c r="A20" s="2" t="s">
        <v>24</v>
      </c>
      <c r="B20" s="1" t="str">
        <f>LEFT(A20,4)</f>
        <v>FRV4</v>
      </c>
      <c r="C20" s="1" t="s">
        <v>130</v>
      </c>
      <c r="E20" s="1">
        <v>26000</v>
      </c>
      <c r="F20" s="1" t="s">
        <v>129</v>
      </c>
      <c r="G20" s="1" t="s">
        <v>126</v>
      </c>
    </row>
    <row r="21" spans="1:7" ht="16.8" x14ac:dyDescent="0.4">
      <c r="A21" s="2" t="s">
        <v>25</v>
      </c>
      <c r="B21" s="1" t="str">
        <f>LEFT(A21,4)</f>
        <v>FRV5</v>
      </c>
      <c r="C21" s="1" t="s">
        <v>128</v>
      </c>
      <c r="E21" s="1">
        <v>68190</v>
      </c>
      <c r="F21" s="1" t="s">
        <v>127</v>
      </c>
      <c r="G21" s="1" t="s">
        <v>126</v>
      </c>
    </row>
    <row r="22" spans="1:7" ht="16.8" x14ac:dyDescent="0.4">
      <c r="A22" s="2" t="s">
        <v>26</v>
      </c>
      <c r="B22" s="1" t="str">
        <f>LEFT(A22,4)</f>
        <v>GB01</v>
      </c>
      <c r="C22" s="1" t="s">
        <v>125</v>
      </c>
      <c r="E22" s="1" t="s">
        <v>124</v>
      </c>
      <c r="F22" s="1" t="s">
        <v>123</v>
      </c>
      <c r="G22" s="1" t="s">
        <v>122</v>
      </c>
    </row>
    <row r="23" spans="1:7" ht="16.8" x14ac:dyDescent="0.4">
      <c r="A23" s="2" t="s">
        <v>27</v>
      </c>
      <c r="B23" s="1" t="str">
        <f>LEFT(A23,4)</f>
        <v>GR01</v>
      </c>
      <c r="C23" s="1" t="s">
        <v>121</v>
      </c>
      <c r="E23" s="1" t="s">
        <v>120</v>
      </c>
      <c r="F23" s="1" t="s">
        <v>119</v>
      </c>
      <c r="G23" s="1" t="s">
        <v>118</v>
      </c>
    </row>
    <row r="24" spans="1:7" ht="16.8" x14ac:dyDescent="0.4">
      <c r="A24" s="2" t="s">
        <v>28</v>
      </c>
      <c r="B24" s="1" t="str">
        <f>LEFT(A24,4)</f>
        <v>IT01</v>
      </c>
      <c r="C24" s="1" t="s">
        <v>117</v>
      </c>
      <c r="E24" s="1">
        <v>28060</v>
      </c>
      <c r="F24" s="1" t="s">
        <v>116</v>
      </c>
      <c r="G24" s="1" t="s">
        <v>111</v>
      </c>
    </row>
    <row r="25" spans="1:7" ht="16.8" x14ac:dyDescent="0.4">
      <c r="A25" s="2" t="s">
        <v>29</v>
      </c>
      <c r="B25" s="1" t="str">
        <f>LEFT(A25,4)</f>
        <v>IT03</v>
      </c>
      <c r="C25" s="1" t="s">
        <v>115</v>
      </c>
      <c r="E25" s="1">
        <v>4011</v>
      </c>
      <c r="F25" s="1" t="s">
        <v>114</v>
      </c>
      <c r="G25" s="1" t="s">
        <v>111</v>
      </c>
    </row>
    <row r="26" spans="1:7" ht="16.8" x14ac:dyDescent="0.4">
      <c r="A26" s="2" t="s">
        <v>30</v>
      </c>
      <c r="B26" s="1" t="str">
        <f>LEFT(A26,4)</f>
        <v>ITV1</v>
      </c>
      <c r="C26" s="1" t="s">
        <v>113</v>
      </c>
      <c r="E26" s="1">
        <v>24068</v>
      </c>
      <c r="F26" s="1" t="s">
        <v>112</v>
      </c>
      <c r="G26" s="1" t="s">
        <v>111</v>
      </c>
    </row>
    <row r="27" spans="1:7" ht="16.8" x14ac:dyDescent="0.4">
      <c r="A27" s="2" t="s">
        <v>31</v>
      </c>
      <c r="B27" s="1" t="str">
        <f>LEFT(A27,4)</f>
        <v>NO02</v>
      </c>
      <c r="C27" s="1" t="s">
        <v>110</v>
      </c>
      <c r="E27" s="1">
        <v>1540</v>
      </c>
      <c r="F27" s="1" t="s">
        <v>109</v>
      </c>
      <c r="G27" s="1" t="s">
        <v>108</v>
      </c>
    </row>
    <row r="28" spans="1:7" ht="16.8" x14ac:dyDescent="0.4">
      <c r="A28" s="2" t="s">
        <v>32</v>
      </c>
      <c r="B28" s="1" t="str">
        <f>LEFT(A28,4)</f>
        <v>PL01</v>
      </c>
      <c r="C28" s="1" t="s">
        <v>107</v>
      </c>
      <c r="E28" s="1" t="s">
        <v>106</v>
      </c>
      <c r="F28" s="1" t="s">
        <v>105</v>
      </c>
      <c r="G28" s="1" t="s">
        <v>101</v>
      </c>
    </row>
    <row r="29" spans="1:7" ht="16.8" x14ac:dyDescent="0.4">
      <c r="A29" s="2" t="s">
        <v>33</v>
      </c>
      <c r="B29" s="1" t="str">
        <f>LEFT(A29,4)</f>
        <v>PLV1</v>
      </c>
      <c r="C29" s="1" t="s">
        <v>104</v>
      </c>
      <c r="E29" s="1" t="s">
        <v>103</v>
      </c>
      <c r="F29" s="1" t="s">
        <v>102</v>
      </c>
      <c r="G29" s="1" t="s">
        <v>101</v>
      </c>
    </row>
    <row r="30" spans="1:7" ht="16.8" x14ac:dyDescent="0.4">
      <c r="A30" s="2" t="s">
        <v>34</v>
      </c>
      <c r="B30" s="1" t="str">
        <f>LEFT(A30,4)</f>
        <v>RO01</v>
      </c>
      <c r="C30" s="1" t="s">
        <v>100</v>
      </c>
      <c r="E30" s="1">
        <v>77096</v>
      </c>
      <c r="F30" s="1" t="s">
        <v>99</v>
      </c>
      <c r="G30" s="1" t="s">
        <v>98</v>
      </c>
    </row>
    <row r="31" spans="1:7" ht="16.8" x14ac:dyDescent="0.4">
      <c r="A31" s="2" t="s">
        <v>35</v>
      </c>
      <c r="B31" s="1" t="str">
        <f>LEFT(A31,4)</f>
        <v>RS01</v>
      </c>
      <c r="C31" s="1" t="s">
        <v>97</v>
      </c>
      <c r="F31" s="1" t="s">
        <v>96</v>
      </c>
      <c r="G31" s="1" t="s">
        <v>93</v>
      </c>
    </row>
    <row r="32" spans="1:7" ht="16.8" x14ac:dyDescent="0.4">
      <c r="A32" s="2" t="s">
        <v>36</v>
      </c>
      <c r="B32" s="1" t="str">
        <f>LEFT(A32,4)</f>
        <v>RS02</v>
      </c>
      <c r="C32" s="1" t="s">
        <v>95</v>
      </c>
      <c r="E32" s="1">
        <v>22310</v>
      </c>
      <c r="F32" s="1" t="s">
        <v>94</v>
      </c>
      <c r="G32" s="1" t="s">
        <v>93</v>
      </c>
    </row>
    <row r="33" spans="1:7" ht="16.8" x14ac:dyDescent="0.4">
      <c r="A33" s="2" t="s">
        <v>37</v>
      </c>
      <c r="B33" s="1" t="str">
        <f>LEFT(A33,4)</f>
        <v>SE01</v>
      </c>
      <c r="C33" s="1" t="s">
        <v>92</v>
      </c>
      <c r="E33" s="1" t="s">
        <v>91</v>
      </c>
      <c r="F33" s="1" t="s">
        <v>90</v>
      </c>
      <c r="G33" s="1" t="s">
        <v>89</v>
      </c>
    </row>
    <row r="34" spans="1:7" ht="16.8" x14ac:dyDescent="0.4">
      <c r="A34" s="2" t="s">
        <v>38</v>
      </c>
      <c r="B34" s="1" t="str">
        <f>LEFT(A34,4)</f>
        <v>SI01</v>
      </c>
      <c r="C34" s="1" t="s">
        <v>88</v>
      </c>
      <c r="E34" s="1">
        <v>4000</v>
      </c>
      <c r="F34" s="1" t="s">
        <v>87</v>
      </c>
      <c r="G34" s="1" t="s">
        <v>86</v>
      </c>
    </row>
    <row r="35" spans="1:7" ht="16.8" x14ac:dyDescent="0.4">
      <c r="A35" s="2" t="s">
        <v>39</v>
      </c>
      <c r="B35" s="1" t="str">
        <f>LEFT(A35,4)</f>
        <v>TR01</v>
      </c>
      <c r="C35" s="1" t="s">
        <v>85</v>
      </c>
      <c r="E35" s="1">
        <v>54580</v>
      </c>
      <c r="F35" s="1" t="s">
        <v>84</v>
      </c>
      <c r="G35" s="1" t="s">
        <v>81</v>
      </c>
    </row>
    <row r="36" spans="1:7" ht="16.8" x14ac:dyDescent="0.4">
      <c r="A36" s="2" t="s">
        <v>40</v>
      </c>
      <c r="B36" s="1" t="str">
        <f>LEFT(A36,4)</f>
        <v>TR03</v>
      </c>
      <c r="C36" s="1" t="s">
        <v>83</v>
      </c>
      <c r="E36" s="1">
        <v>41400</v>
      </c>
      <c r="F36" s="1" t="s">
        <v>82</v>
      </c>
      <c r="G36" s="1" t="s">
        <v>81</v>
      </c>
    </row>
    <row r="37" spans="1:7" ht="16.8" x14ac:dyDescent="0.4">
      <c r="A37" s="2" t="s">
        <v>41</v>
      </c>
      <c r="B37" s="1" t="str">
        <f>LEFT(A37,4)</f>
        <v>UA03</v>
      </c>
      <c r="C37" s="1" t="s">
        <v>80</v>
      </c>
      <c r="E37" s="1">
        <v>4070</v>
      </c>
      <c r="F37" s="1" t="s">
        <v>79</v>
      </c>
      <c r="G37" s="1" t="s">
        <v>76</v>
      </c>
    </row>
    <row r="38" spans="1:7" ht="16.8" x14ac:dyDescent="0.4">
      <c r="A38" s="2" t="s">
        <v>42</v>
      </c>
      <c r="B38" s="1" t="str">
        <f>LEFT(A38,4)</f>
        <v>UAV1</v>
      </c>
      <c r="C38" s="1" t="s">
        <v>78</v>
      </c>
      <c r="E38" s="1">
        <v>2660</v>
      </c>
      <c r="F38" s="1" t="s">
        <v>77</v>
      </c>
      <c r="G38" s="1" t="s">
        <v>76</v>
      </c>
    </row>
    <row r="39" spans="1:7" ht="16.8" x14ac:dyDescent="0.4">
      <c r="A39" s="2" t="s">
        <v>43</v>
      </c>
      <c r="B39" s="1" t="str">
        <f>LEFT(A39,4)</f>
        <v>ZA01</v>
      </c>
      <c r="C39" s="1" t="s">
        <v>75</v>
      </c>
      <c r="D39" s="1">
        <v>126</v>
      </c>
      <c r="E39" s="1">
        <v>6229</v>
      </c>
      <c r="F39" s="1" t="s">
        <v>74</v>
      </c>
      <c r="G39" s="1" t="s">
        <v>69</v>
      </c>
    </row>
    <row r="40" spans="1:7" ht="16.8" x14ac:dyDescent="0.4">
      <c r="A40" s="2" t="s">
        <v>44</v>
      </c>
      <c r="B40" s="1" t="str">
        <f>LEFT(A40,4)</f>
        <v>ZA03</v>
      </c>
      <c r="C40" s="1" t="s">
        <v>73</v>
      </c>
      <c r="D40" s="1">
        <v>562</v>
      </c>
      <c r="E40" s="1">
        <v>1401</v>
      </c>
      <c r="F40" s="1" t="s">
        <v>72</v>
      </c>
      <c r="G40" s="1" t="s">
        <v>69</v>
      </c>
    </row>
    <row r="41" spans="1:7" ht="16.8" x14ac:dyDescent="0.4">
      <c r="A41" s="2" t="s">
        <v>45</v>
      </c>
      <c r="B41" s="1" t="str">
        <f>LEFT(A41,4)</f>
        <v>ZA09</v>
      </c>
      <c r="C41" s="1" t="s">
        <v>71</v>
      </c>
      <c r="E41" s="1">
        <v>6001</v>
      </c>
      <c r="F41" s="1" t="s">
        <v>70</v>
      </c>
      <c r="G41" s="1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full</vt:lpstr>
      <vt:lpstr>by Wh.Role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Barbieri</dc:creator>
  <cp:lastModifiedBy>Andrea Barbieri</cp:lastModifiedBy>
  <dcterms:created xsi:type="dcterms:W3CDTF">2026-02-19T15:24:54Z</dcterms:created>
  <dcterms:modified xsi:type="dcterms:W3CDTF">2026-02-19T15:39:29Z</dcterms:modified>
</cp:coreProperties>
</file>